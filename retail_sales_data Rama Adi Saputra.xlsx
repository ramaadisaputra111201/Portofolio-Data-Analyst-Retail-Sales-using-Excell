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C:\Users\WINDOWS 10\Downloads\"/>
    </mc:Choice>
  </mc:AlternateContent>
  <xr:revisionPtr revIDLastSave="0" documentId="13_ncr:1_{8447CA7E-2553-444C-822E-FF32F9FF92A0}" xr6:coauthVersionLast="47" xr6:coauthVersionMax="47" xr10:uidLastSave="{00000000-0000-0000-0000-000000000000}"/>
  <bookViews>
    <workbookView xWindow="-120" yWindow="-120" windowWidth="20730" windowHeight="11760" activeTab="2" xr2:uid="{00000000-000D-0000-FFFF-FFFF00000000}"/>
  </bookViews>
  <sheets>
    <sheet name="Dictionary" sheetId="2" r:id="rId1"/>
    <sheet name="RAW" sheetId="1" r:id="rId2"/>
    <sheet name="DASHBORD PIVOT TABLE" sheetId="4" r:id="rId3"/>
  </sheets>
  <definedNames>
    <definedName name="_xlnm._FilterDatabase" localSheetId="1" hidden="1">RAW!$A$1:$M$201</definedName>
    <definedName name="NativeTimeline_Date">#N/A</definedName>
    <definedName name="Slicer_Category">#N/A</definedName>
    <definedName name="Slicer_Payment_Method">#N/A</definedName>
    <definedName name="Slicer_Product">#N/A</definedName>
    <definedName name="Slicer_Store_Location">#N/A</definedName>
  </definedNames>
  <calcPr calcId="191029"/>
  <pivotCaches>
    <pivotCache cacheId="13"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Lst>
</workbook>
</file>

<file path=xl/calcChain.xml><?xml version="1.0" encoding="utf-8"?>
<calcChain xmlns="http://schemas.openxmlformats.org/spreadsheetml/2006/main">
  <c r="A205" i="1" l="1"/>
  <c r="X7" i="4"/>
  <c r="G4" i="4"/>
  <c r="J51" i="1" l="1"/>
  <c r="K51" i="1" s="1"/>
  <c r="J11" i="1"/>
  <c r="K11" i="1" s="1"/>
  <c r="J57" i="1"/>
  <c r="K57" i="1" s="1"/>
  <c r="J65" i="1"/>
  <c r="K65" i="1" s="1"/>
  <c r="J33" i="1"/>
  <c r="K33" i="1" s="1"/>
  <c r="J165" i="1"/>
  <c r="K165" i="1" s="1"/>
  <c r="J116" i="1"/>
  <c r="K116" i="1" s="1"/>
  <c r="J132" i="1"/>
  <c r="K132" i="1" s="1"/>
  <c r="J115" i="1"/>
  <c r="K115" i="1" s="1"/>
  <c r="J180" i="1"/>
  <c r="K180" i="1" s="1"/>
  <c r="J139" i="1"/>
  <c r="K139" i="1" s="1"/>
  <c r="J62" i="1"/>
  <c r="K62" i="1" s="1"/>
  <c r="J59" i="1"/>
  <c r="K59" i="1" s="1"/>
  <c r="J181" i="1"/>
  <c r="K181" i="1" s="1"/>
  <c r="J37" i="1"/>
  <c r="K37" i="1" s="1"/>
  <c r="J122" i="1"/>
  <c r="K122" i="1" s="1"/>
  <c r="J144" i="1"/>
  <c r="K144" i="1" s="1"/>
  <c r="J128" i="1"/>
  <c r="K128" i="1" s="1"/>
  <c r="J169" i="1"/>
  <c r="K169" i="1" s="1"/>
  <c r="J140" i="1"/>
  <c r="K140" i="1" s="1"/>
  <c r="J40" i="1"/>
  <c r="K40" i="1" s="1"/>
  <c r="J80" i="1"/>
  <c r="K80" i="1" s="1"/>
  <c r="J89" i="1"/>
  <c r="K89" i="1" s="1"/>
  <c r="J154" i="1"/>
  <c r="K154" i="1" s="1"/>
  <c r="J92" i="1"/>
  <c r="K92" i="1" s="1"/>
  <c r="J32" i="1"/>
  <c r="K32" i="1" s="1"/>
  <c r="J151" i="1"/>
  <c r="K151" i="1" s="1"/>
  <c r="J50" i="1"/>
  <c r="K50" i="1" s="1"/>
  <c r="J149" i="1"/>
  <c r="K149" i="1" s="1"/>
  <c r="J182" i="1"/>
  <c r="K182" i="1" s="1"/>
  <c r="J79" i="1"/>
  <c r="K79" i="1" s="1"/>
  <c r="J150" i="1"/>
  <c r="K150" i="1" s="1"/>
  <c r="J171" i="1"/>
  <c r="K171" i="1" s="1"/>
  <c r="J47" i="1"/>
  <c r="K47" i="1" s="1"/>
  <c r="J96" i="1"/>
  <c r="K96" i="1" s="1"/>
  <c r="J123" i="1"/>
  <c r="K123" i="1" s="1"/>
  <c r="J95" i="1"/>
  <c r="K95" i="1" s="1"/>
  <c r="J6" i="1"/>
  <c r="K6" i="1" s="1"/>
  <c r="J56" i="1"/>
  <c r="K56" i="1" s="1"/>
  <c r="J16" i="1"/>
  <c r="K16" i="1" s="1"/>
  <c r="J30" i="1"/>
  <c r="K30" i="1" s="1"/>
  <c r="J12" i="1"/>
  <c r="K12" i="1" s="1"/>
  <c r="J45" i="1"/>
  <c r="K45" i="1" s="1"/>
  <c r="J186" i="1"/>
  <c r="K186" i="1" s="1"/>
  <c r="J49" i="1"/>
  <c r="K49" i="1" s="1"/>
  <c r="J46" i="1"/>
  <c r="K46" i="1" s="1"/>
  <c r="J137" i="1"/>
  <c r="K137" i="1" s="1"/>
  <c r="J99" i="1"/>
  <c r="K99" i="1" s="1"/>
  <c r="J7" i="1"/>
  <c r="K7" i="1" s="1"/>
  <c r="J170" i="1"/>
  <c r="K170" i="1" s="1"/>
  <c r="J183" i="1"/>
  <c r="K183" i="1" s="1"/>
  <c r="J119" i="1"/>
  <c r="K119" i="1" s="1"/>
  <c r="J58" i="1"/>
  <c r="K58" i="1" s="1"/>
  <c r="J175" i="1"/>
  <c r="K175" i="1" s="1"/>
  <c r="J134" i="1"/>
  <c r="K134" i="1" s="1"/>
  <c r="J167" i="1"/>
  <c r="K167" i="1" s="1"/>
  <c r="J130" i="1"/>
  <c r="K130" i="1" s="1"/>
  <c r="J127" i="1"/>
  <c r="K127" i="1" s="1"/>
  <c r="J66" i="1"/>
  <c r="K66" i="1" s="1"/>
  <c r="J35" i="1"/>
  <c r="K35" i="1" s="1"/>
  <c r="J48" i="1"/>
  <c r="K48" i="1" s="1"/>
  <c r="J148" i="1"/>
  <c r="K148" i="1" s="1"/>
  <c r="J75" i="1"/>
  <c r="K75" i="1" s="1"/>
  <c r="J74" i="1"/>
  <c r="K74" i="1" s="1"/>
  <c r="J53" i="1"/>
  <c r="K53" i="1" s="1"/>
  <c r="J104" i="1"/>
  <c r="K104" i="1" s="1"/>
  <c r="J4" i="1"/>
  <c r="K4" i="1" s="1"/>
  <c r="J135" i="1"/>
  <c r="K135" i="1" s="1"/>
  <c r="J178" i="1"/>
  <c r="K178" i="1" s="1"/>
  <c r="J101" i="1"/>
  <c r="K101" i="1" s="1"/>
  <c r="J39" i="1"/>
  <c r="K39" i="1" s="1"/>
  <c r="J105" i="1"/>
  <c r="K105" i="1" s="1"/>
  <c r="J152" i="1"/>
  <c r="K152" i="1" s="1"/>
  <c r="J91" i="1"/>
  <c r="K91" i="1" s="1"/>
  <c r="J196" i="1"/>
  <c r="K196" i="1" s="1"/>
  <c r="J191" i="1"/>
  <c r="K191" i="1" s="1"/>
  <c r="J98" i="1"/>
  <c r="K98" i="1" s="1"/>
  <c r="J166" i="1"/>
  <c r="K166" i="1" s="1"/>
  <c r="J131" i="1"/>
  <c r="K131" i="1" s="1"/>
  <c r="J28" i="1"/>
  <c r="K28" i="1" s="1"/>
  <c r="J110" i="1"/>
  <c r="K110" i="1" s="1"/>
  <c r="J173" i="1"/>
  <c r="K173" i="1" s="1"/>
  <c r="J19" i="1"/>
  <c r="K19" i="1" s="1"/>
  <c r="J142" i="1"/>
  <c r="K142" i="1" s="1"/>
  <c r="J63" i="1"/>
  <c r="K63" i="1" s="1"/>
  <c r="J54" i="1"/>
  <c r="K54" i="1" s="1"/>
  <c r="J84" i="1"/>
  <c r="K84" i="1" s="1"/>
  <c r="J103" i="1"/>
  <c r="K103" i="1" s="1"/>
  <c r="J31" i="1"/>
  <c r="K31" i="1" s="1"/>
  <c r="J125" i="1"/>
  <c r="K125" i="1" s="1"/>
  <c r="J77" i="1"/>
  <c r="K77" i="1" s="1"/>
  <c r="J124" i="1"/>
  <c r="K124" i="1" s="1"/>
  <c r="J27" i="1"/>
  <c r="K27" i="1" s="1"/>
  <c r="J24" i="1"/>
  <c r="K24" i="1" s="1"/>
  <c r="J25" i="1"/>
  <c r="K25" i="1" s="1"/>
  <c r="J82" i="1"/>
  <c r="K82" i="1" s="1"/>
  <c r="J67" i="1"/>
  <c r="K67" i="1" s="1"/>
  <c r="J21" i="1"/>
  <c r="K21" i="1" s="1"/>
  <c r="J141" i="1"/>
  <c r="K141" i="1" s="1"/>
  <c r="J36" i="1"/>
  <c r="K36" i="1" s="1"/>
  <c r="J15" i="1"/>
  <c r="K15" i="1" s="1"/>
  <c r="J22" i="1"/>
  <c r="K22" i="1" s="1"/>
  <c r="J86" i="1"/>
  <c r="K86" i="1" s="1"/>
  <c r="J108" i="1"/>
  <c r="K108" i="1" s="1"/>
  <c r="J113" i="1"/>
  <c r="K113" i="1" s="1"/>
  <c r="J112" i="1"/>
  <c r="K112" i="1" s="1"/>
  <c r="J97" i="1"/>
  <c r="K97" i="1" s="1"/>
  <c r="J69" i="1"/>
  <c r="K69" i="1" s="1"/>
  <c r="J197" i="1"/>
  <c r="K197" i="1" s="1"/>
  <c r="J199" i="1"/>
  <c r="K199" i="1" s="1"/>
  <c r="J163" i="1"/>
  <c r="K163" i="1" s="1"/>
  <c r="J192" i="1"/>
  <c r="K192" i="1" s="1"/>
  <c r="J184" i="1"/>
  <c r="K184" i="1" s="1"/>
  <c r="J194" i="1"/>
  <c r="K194" i="1" s="1"/>
  <c r="J145" i="1"/>
  <c r="K145" i="1" s="1"/>
  <c r="J17" i="1"/>
  <c r="K17" i="1" s="1"/>
  <c r="J3" i="1"/>
  <c r="K3" i="1" s="1"/>
  <c r="J179" i="1"/>
  <c r="K179" i="1" s="1"/>
  <c r="J41" i="1"/>
  <c r="K41" i="1" s="1"/>
  <c r="J87" i="1"/>
  <c r="K87" i="1" s="1"/>
  <c r="J42" i="1"/>
  <c r="K42" i="1" s="1"/>
  <c r="J136" i="1"/>
  <c r="K136" i="1" s="1"/>
  <c r="J195" i="1"/>
  <c r="K195" i="1" s="1"/>
  <c r="J129" i="1"/>
  <c r="K129" i="1" s="1"/>
  <c r="J94" i="1"/>
  <c r="K94" i="1" s="1"/>
  <c r="J161" i="1"/>
  <c r="K161" i="1" s="1"/>
  <c r="J133" i="1"/>
  <c r="K133" i="1" s="1"/>
  <c r="J146" i="1"/>
  <c r="K146" i="1" s="1"/>
  <c r="J83" i="1"/>
  <c r="K83" i="1" s="1"/>
  <c r="J18" i="1"/>
  <c r="K18" i="1" s="1"/>
  <c r="J23" i="1"/>
  <c r="K23" i="1" s="1"/>
  <c r="J88" i="1"/>
  <c r="K88" i="1" s="1"/>
  <c r="J157" i="1"/>
  <c r="K157" i="1" s="1"/>
  <c r="J143" i="1"/>
  <c r="K143" i="1" s="1"/>
  <c r="J26" i="1"/>
  <c r="K26" i="1" s="1"/>
  <c r="J155" i="1"/>
  <c r="K155" i="1" s="1"/>
  <c r="J156" i="1"/>
  <c r="K156" i="1" s="1"/>
  <c r="J38" i="1"/>
  <c r="K38" i="1" s="1"/>
  <c r="J106" i="1"/>
  <c r="K106" i="1" s="1"/>
  <c r="J176" i="1"/>
  <c r="K176" i="1" s="1"/>
  <c r="J174" i="1"/>
  <c r="K174" i="1" s="1"/>
  <c r="J55" i="1"/>
  <c r="K55" i="1" s="1"/>
  <c r="J168" i="1"/>
  <c r="K168" i="1" s="1"/>
  <c r="J10" i="1"/>
  <c r="K10" i="1" s="1"/>
  <c r="J147" i="1"/>
  <c r="K147" i="1" s="1"/>
  <c r="J90" i="1"/>
  <c r="K90" i="1" s="1"/>
  <c r="J159" i="1"/>
  <c r="K159" i="1" s="1"/>
  <c r="J44" i="1"/>
  <c r="K44" i="1" s="1"/>
  <c r="J43" i="1"/>
  <c r="K43" i="1" s="1"/>
  <c r="J93" i="1"/>
  <c r="K93" i="1" s="1"/>
  <c r="J20" i="1"/>
  <c r="K20" i="1" s="1"/>
  <c r="J5" i="1"/>
  <c r="K5" i="1" s="1"/>
  <c r="J9" i="1"/>
  <c r="K9" i="1" s="1"/>
  <c r="J117" i="1"/>
  <c r="K117" i="1" s="1"/>
  <c r="J118" i="1"/>
  <c r="K118" i="1" s="1"/>
  <c r="J29" i="1"/>
  <c r="K29" i="1" s="1"/>
  <c r="J70" i="1"/>
  <c r="K70" i="1" s="1"/>
  <c r="J60" i="1"/>
  <c r="K60" i="1" s="1"/>
  <c r="J68" i="1"/>
  <c r="K68" i="1" s="1"/>
  <c r="J14" i="1"/>
  <c r="K14" i="1" s="1"/>
  <c r="J102" i="1"/>
  <c r="K102" i="1" s="1"/>
  <c r="J72" i="1"/>
  <c r="K72" i="1" s="1"/>
  <c r="J153" i="1"/>
  <c r="K153" i="1" s="1"/>
  <c r="J189" i="1"/>
  <c r="K189" i="1" s="1"/>
  <c r="J138" i="1"/>
  <c r="K138" i="1" s="1"/>
  <c r="J81" i="1"/>
  <c r="K81" i="1" s="1"/>
  <c r="J111" i="1"/>
  <c r="K111" i="1" s="1"/>
  <c r="J164" i="1"/>
  <c r="K164" i="1" s="1"/>
  <c r="J85" i="1"/>
  <c r="K85" i="1" s="1"/>
  <c r="J188" i="1"/>
  <c r="K188" i="1" s="1"/>
  <c r="J71" i="1"/>
  <c r="K71" i="1" s="1"/>
  <c r="J114" i="1"/>
  <c r="K114" i="1" s="1"/>
  <c r="J8" i="1"/>
  <c r="K8" i="1" s="1"/>
  <c r="J201" i="1"/>
  <c r="K201" i="1" s="1"/>
  <c r="J177" i="1"/>
  <c r="K177" i="1" s="1"/>
  <c r="J34" i="1"/>
  <c r="K34" i="1" s="1"/>
  <c r="J120" i="1"/>
  <c r="K120" i="1" s="1"/>
  <c r="J100" i="1"/>
  <c r="K100" i="1" s="1"/>
  <c r="J64" i="1"/>
  <c r="K64" i="1" s="1"/>
  <c r="J185" i="1"/>
  <c r="K185" i="1" s="1"/>
  <c r="J187" i="1"/>
  <c r="K187" i="1" s="1"/>
  <c r="J13" i="1"/>
  <c r="K13" i="1" s="1"/>
  <c r="J2" i="1"/>
  <c r="K2" i="1" s="1"/>
  <c r="J190" i="1"/>
  <c r="K190" i="1" s="1"/>
  <c r="J158" i="1"/>
  <c r="K158" i="1" s="1"/>
  <c r="J172" i="1"/>
  <c r="K172" i="1" s="1"/>
  <c r="J76" i="1"/>
  <c r="K76" i="1" s="1"/>
  <c r="J126" i="1"/>
  <c r="K126" i="1" s="1"/>
  <c r="J193" i="1"/>
  <c r="K193" i="1" s="1"/>
  <c r="J73" i="1"/>
  <c r="K73" i="1" s="1"/>
  <c r="J198" i="1"/>
  <c r="K198" i="1" s="1"/>
  <c r="J162" i="1"/>
  <c r="K162" i="1" s="1"/>
  <c r="J200" i="1"/>
  <c r="K200" i="1" s="1"/>
  <c r="J160" i="1"/>
  <c r="K160" i="1" s="1"/>
  <c r="J61" i="1"/>
  <c r="K61" i="1" s="1"/>
  <c r="J52" i="1"/>
  <c r="K52" i="1" s="1"/>
  <c r="J121" i="1"/>
  <c r="K121" i="1" s="1"/>
  <c r="J78" i="1"/>
  <c r="K78" i="1" s="1"/>
  <c r="J109" i="1"/>
  <c r="K109" i="1" s="1"/>
  <c r="J107" i="1"/>
  <c r="K107" i="1" s="1"/>
</calcChain>
</file>

<file path=xl/sharedStrings.xml><?xml version="1.0" encoding="utf-8"?>
<sst xmlns="http://schemas.openxmlformats.org/spreadsheetml/2006/main" count="1291" uniqueCount="275">
  <si>
    <t>Transaction ID</t>
  </si>
  <si>
    <t>Date</t>
  </si>
  <si>
    <t>Customer Name</t>
  </si>
  <si>
    <t>Product</t>
  </si>
  <si>
    <t>Category</t>
  </si>
  <si>
    <t>Quantity</t>
  </si>
  <si>
    <t>Unit Price</t>
  </si>
  <si>
    <t>Total Price</t>
  </si>
  <si>
    <t>Payment Method</t>
  </si>
  <si>
    <t>Store Location</t>
  </si>
  <si>
    <t>T0001</t>
  </si>
  <si>
    <t>T0002</t>
  </si>
  <si>
    <t>T0003</t>
  </si>
  <si>
    <t>T0004</t>
  </si>
  <si>
    <t>T0005</t>
  </si>
  <si>
    <t>T0006</t>
  </si>
  <si>
    <t>T0007</t>
  </si>
  <si>
    <t>T0008</t>
  </si>
  <si>
    <t>T0009</t>
  </si>
  <si>
    <t>T0010</t>
  </si>
  <si>
    <t>T0011</t>
  </si>
  <si>
    <t>T0012</t>
  </si>
  <si>
    <t>T0013</t>
  </si>
  <si>
    <t>T0014</t>
  </si>
  <si>
    <t>T0015</t>
  </si>
  <si>
    <t>T0016</t>
  </si>
  <si>
    <t>T0017</t>
  </si>
  <si>
    <t>T0018</t>
  </si>
  <si>
    <t>T0019</t>
  </si>
  <si>
    <t>T0020</t>
  </si>
  <si>
    <t>T0021</t>
  </si>
  <si>
    <t>T0022</t>
  </si>
  <si>
    <t>T0023</t>
  </si>
  <si>
    <t>T0024</t>
  </si>
  <si>
    <t>T0025</t>
  </si>
  <si>
    <t>T0026</t>
  </si>
  <si>
    <t>T0027</t>
  </si>
  <si>
    <t>T0028</t>
  </si>
  <si>
    <t>T0029</t>
  </si>
  <si>
    <t>T0030</t>
  </si>
  <si>
    <t>T0031</t>
  </si>
  <si>
    <t>T0032</t>
  </si>
  <si>
    <t>T0033</t>
  </si>
  <si>
    <t>T0034</t>
  </si>
  <si>
    <t>T0035</t>
  </si>
  <si>
    <t>T0036</t>
  </si>
  <si>
    <t>T0037</t>
  </si>
  <si>
    <t>T0038</t>
  </si>
  <si>
    <t>T0039</t>
  </si>
  <si>
    <t>T0040</t>
  </si>
  <si>
    <t>T0041</t>
  </si>
  <si>
    <t>T0042</t>
  </si>
  <si>
    <t>T0043</t>
  </si>
  <si>
    <t>T0044</t>
  </si>
  <si>
    <t>T0045</t>
  </si>
  <si>
    <t>T0046</t>
  </si>
  <si>
    <t>T0047</t>
  </si>
  <si>
    <t>T0048</t>
  </si>
  <si>
    <t>T0049</t>
  </si>
  <si>
    <t>T0050</t>
  </si>
  <si>
    <t>T0051</t>
  </si>
  <si>
    <t>T0052</t>
  </si>
  <si>
    <t>T0053</t>
  </si>
  <si>
    <t>T0054</t>
  </si>
  <si>
    <t>T0055</t>
  </si>
  <si>
    <t>T0056</t>
  </si>
  <si>
    <t>T0057</t>
  </si>
  <si>
    <t>T0058</t>
  </si>
  <si>
    <t>T0059</t>
  </si>
  <si>
    <t>T0060</t>
  </si>
  <si>
    <t>T0061</t>
  </si>
  <si>
    <t>T0062</t>
  </si>
  <si>
    <t>T0063</t>
  </si>
  <si>
    <t>T0064</t>
  </si>
  <si>
    <t>T0065</t>
  </si>
  <si>
    <t>T0066</t>
  </si>
  <si>
    <t>T0067</t>
  </si>
  <si>
    <t>T0068</t>
  </si>
  <si>
    <t>T0069</t>
  </si>
  <si>
    <t>T0070</t>
  </si>
  <si>
    <t>T0071</t>
  </si>
  <si>
    <t>T0072</t>
  </si>
  <si>
    <t>T0073</t>
  </si>
  <si>
    <t>T0074</t>
  </si>
  <si>
    <t>T0075</t>
  </si>
  <si>
    <t>T0076</t>
  </si>
  <si>
    <t>T0077</t>
  </si>
  <si>
    <t>T0078</t>
  </si>
  <si>
    <t>T0079</t>
  </si>
  <si>
    <t>T0080</t>
  </si>
  <si>
    <t>T0081</t>
  </si>
  <si>
    <t>T0082</t>
  </si>
  <si>
    <t>T0083</t>
  </si>
  <si>
    <t>T0084</t>
  </si>
  <si>
    <t>T0085</t>
  </si>
  <si>
    <t>T0086</t>
  </si>
  <si>
    <t>T0087</t>
  </si>
  <si>
    <t>T0088</t>
  </si>
  <si>
    <t>T0089</t>
  </si>
  <si>
    <t>T0090</t>
  </si>
  <si>
    <t>T0091</t>
  </si>
  <si>
    <t>T0092</t>
  </si>
  <si>
    <t>T0093</t>
  </si>
  <si>
    <t>T0094</t>
  </si>
  <si>
    <t>T0095</t>
  </si>
  <si>
    <t>T0096</t>
  </si>
  <si>
    <t>T0097</t>
  </si>
  <si>
    <t>T0098</t>
  </si>
  <si>
    <t>T0099</t>
  </si>
  <si>
    <t>T0100</t>
  </si>
  <si>
    <t>T0101</t>
  </si>
  <si>
    <t>T0102</t>
  </si>
  <si>
    <t>T0103</t>
  </si>
  <si>
    <t>T0104</t>
  </si>
  <si>
    <t>T0105</t>
  </si>
  <si>
    <t>T0106</t>
  </si>
  <si>
    <t>T0107</t>
  </si>
  <si>
    <t>T0108</t>
  </si>
  <si>
    <t>T0109</t>
  </si>
  <si>
    <t>T0110</t>
  </si>
  <si>
    <t>T0111</t>
  </si>
  <si>
    <t>T0112</t>
  </si>
  <si>
    <t>T0113</t>
  </si>
  <si>
    <t>T0114</t>
  </si>
  <si>
    <t>T0115</t>
  </si>
  <si>
    <t>T0116</t>
  </si>
  <si>
    <t>T0117</t>
  </si>
  <si>
    <t>T0118</t>
  </si>
  <si>
    <t>T0119</t>
  </si>
  <si>
    <t>T0120</t>
  </si>
  <si>
    <t>T0121</t>
  </si>
  <si>
    <t>T0122</t>
  </si>
  <si>
    <t>T0123</t>
  </si>
  <si>
    <t>T0124</t>
  </si>
  <si>
    <t>T0125</t>
  </si>
  <si>
    <t>T0126</t>
  </si>
  <si>
    <t>T0127</t>
  </si>
  <si>
    <t>T0128</t>
  </si>
  <si>
    <t>T0129</t>
  </si>
  <si>
    <t>T0130</t>
  </si>
  <si>
    <t>T0131</t>
  </si>
  <si>
    <t>T0132</t>
  </si>
  <si>
    <t>T0133</t>
  </si>
  <si>
    <t>T0134</t>
  </si>
  <si>
    <t>T0135</t>
  </si>
  <si>
    <t>T0136</t>
  </si>
  <si>
    <t>T0137</t>
  </si>
  <si>
    <t>T0138</t>
  </si>
  <si>
    <t>T0139</t>
  </si>
  <si>
    <t>T0140</t>
  </si>
  <si>
    <t>T0141</t>
  </si>
  <si>
    <t>T0142</t>
  </si>
  <si>
    <t>T0143</t>
  </si>
  <si>
    <t>T0144</t>
  </si>
  <si>
    <t>T0145</t>
  </si>
  <si>
    <t>T0146</t>
  </si>
  <si>
    <t>T0147</t>
  </si>
  <si>
    <t>T0148</t>
  </si>
  <si>
    <t>T0149</t>
  </si>
  <si>
    <t>T0150</t>
  </si>
  <si>
    <t>T0151</t>
  </si>
  <si>
    <t>T0152</t>
  </si>
  <si>
    <t>T0153</t>
  </si>
  <si>
    <t>T0154</t>
  </si>
  <si>
    <t>T0155</t>
  </si>
  <si>
    <t>T0156</t>
  </si>
  <si>
    <t>T0157</t>
  </si>
  <si>
    <t>T0158</t>
  </si>
  <si>
    <t>T0159</t>
  </si>
  <si>
    <t>T0160</t>
  </si>
  <si>
    <t>T0161</t>
  </si>
  <si>
    <t>T0162</t>
  </si>
  <si>
    <t>T0163</t>
  </si>
  <si>
    <t>T0164</t>
  </si>
  <si>
    <t>T0165</t>
  </si>
  <si>
    <t>T0166</t>
  </si>
  <si>
    <t>T0167</t>
  </si>
  <si>
    <t>T0168</t>
  </si>
  <si>
    <t>T0169</t>
  </si>
  <si>
    <t>T0170</t>
  </si>
  <si>
    <t>T0171</t>
  </si>
  <si>
    <t>T0172</t>
  </si>
  <si>
    <t>T0173</t>
  </si>
  <si>
    <t>T0174</t>
  </si>
  <si>
    <t>T0175</t>
  </si>
  <si>
    <t>T0176</t>
  </si>
  <si>
    <t>T0177</t>
  </si>
  <si>
    <t>T0178</t>
  </si>
  <si>
    <t>T0179</t>
  </si>
  <si>
    <t>T0180</t>
  </si>
  <si>
    <t>T0181</t>
  </si>
  <si>
    <t>T0182</t>
  </si>
  <si>
    <t>T0183</t>
  </si>
  <si>
    <t>T0184</t>
  </si>
  <si>
    <t>T0185</t>
  </si>
  <si>
    <t>T0186</t>
  </si>
  <si>
    <t>T0187</t>
  </si>
  <si>
    <t>T0188</t>
  </si>
  <si>
    <t>T0189</t>
  </si>
  <si>
    <t>T0190</t>
  </si>
  <si>
    <t>T0191</t>
  </si>
  <si>
    <t>T0192</t>
  </si>
  <si>
    <t>T0193</t>
  </si>
  <si>
    <t>T0194</t>
  </si>
  <si>
    <t>T0195</t>
  </si>
  <si>
    <t>T0196</t>
  </si>
  <si>
    <t>T0197</t>
  </si>
  <si>
    <t>T0198</t>
  </si>
  <si>
    <t>T0199</t>
  </si>
  <si>
    <t>T0200</t>
  </si>
  <si>
    <t>Eka</t>
  </si>
  <si>
    <t>Budi</t>
  </si>
  <si>
    <t>Dewi</t>
  </si>
  <si>
    <t>Gita</t>
  </si>
  <si>
    <t>Joko</t>
  </si>
  <si>
    <t>Fajar</t>
  </si>
  <si>
    <t>Hana</t>
  </si>
  <si>
    <t>Indra</t>
  </si>
  <si>
    <t>Agus</t>
  </si>
  <si>
    <t>Citra</t>
  </si>
  <si>
    <t>Mouse</t>
  </si>
  <si>
    <t>Monitor</t>
  </si>
  <si>
    <t>Laptop</t>
  </si>
  <si>
    <t>Desk Chair</t>
  </si>
  <si>
    <t>Pen</t>
  </si>
  <si>
    <t>Desk Lamp</t>
  </si>
  <si>
    <t>Notebook</t>
  </si>
  <si>
    <t>Keyboard</t>
  </si>
  <si>
    <t>Backpack</t>
  </si>
  <si>
    <t>Water Bottle</t>
  </si>
  <si>
    <t>Electronics</t>
  </si>
  <si>
    <t>Furniture</t>
  </si>
  <si>
    <t>Stationery</t>
  </si>
  <si>
    <t>Accessories</t>
  </si>
  <si>
    <t>Credit Card</t>
  </si>
  <si>
    <t>E-Wallet</t>
  </si>
  <si>
    <t>Cash</t>
  </si>
  <si>
    <t>Debit Card</t>
  </si>
  <si>
    <t>Bandung</t>
  </si>
  <si>
    <t>Jakarta</t>
  </si>
  <si>
    <t>Yogyakarta</t>
  </si>
  <si>
    <t>Surabaya</t>
  </si>
  <si>
    <t>Medan</t>
  </si>
  <si>
    <t>Feature</t>
  </si>
  <si>
    <t>Deskripsi</t>
  </si>
  <si>
    <t>ID unik untuk setiap transaksi, dengan format Txxxx (contoh:T0001)</t>
  </si>
  <si>
    <t>Tanggal transaksi terjadi</t>
  </si>
  <si>
    <t>Nama pelanggan yang melakukan pembelian</t>
  </si>
  <si>
    <t>Nama produk yang dibeli</t>
  </si>
  <si>
    <t>Kategori produk (contoh: Electronics, Furniture, Stationery, Accessories)</t>
  </si>
  <si>
    <t>Jumlah unit produk yang dibeli dalam transaksi</t>
  </si>
  <si>
    <t>Harga satuan dari produk yang dibeli</t>
  </si>
  <si>
    <t>Total nilai transaksi (harusnya = Quantity x Unit Price)</t>
  </si>
  <si>
    <t>Metode pembayaran yang digunakan (Cash, Credit Card, Debit Card, E-Wallet)</t>
  </si>
  <si>
    <t>Kota lokasi toko tempat transaksi terjadi (Jakarta, Bandung, Surabaya, Medan, Yogyakarta)</t>
  </si>
  <si>
    <t>Catatan</t>
  </si>
  <si>
    <r>
      <t xml:space="preserve">Dataset ini merupakan kumpulan data transaksi penjualan dari sebuah toko retail fiktif selama periode </t>
    </r>
    <r>
      <rPr>
        <b/>
        <sz val="11"/>
        <color rgb="FF000000"/>
        <rFont val="Arial"/>
        <family val="2"/>
      </rPr>
      <t>Januari hingga Maret 2024</t>
    </r>
    <r>
      <rPr>
        <sz val="11"/>
        <color rgb="FF000000"/>
        <rFont val="Arial"/>
        <family val="2"/>
      </rPr>
      <t>. Setiap baris merepresentasikan satu transaksi yang dilakukan oleh pelanggan.</t>
    </r>
  </si>
  <si>
    <t>Row Labels</t>
  </si>
  <si>
    <t>Grand Total</t>
  </si>
  <si>
    <t>Jan</t>
  </si>
  <si>
    <t>Feb</t>
  </si>
  <si>
    <t>Mar</t>
  </si>
  <si>
    <t>Cek Kebenaran Total Price</t>
  </si>
  <si>
    <t>Time</t>
  </si>
  <si>
    <t>Total Price Fixed</t>
  </si>
  <si>
    <t>Sum of Total Price Fixed</t>
  </si>
  <si>
    <t>Sum of Quantity</t>
  </si>
  <si>
    <t>Column Labels</t>
  </si>
  <si>
    <t>Count of Payment Method</t>
  </si>
  <si>
    <t>RETAIL SALES PERFORMANCE</t>
  </si>
  <si>
    <t>TOTAL REVENUE</t>
  </si>
  <si>
    <t>Average of Order (AOV)</t>
  </si>
  <si>
    <t>TOTAL ORDER</t>
  </si>
  <si>
    <t>AVERAGE OF ORDER (AOV)</t>
  </si>
  <si>
    <t>Banyak unit terjual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</si>
</sst>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2" formatCode="_-&quot;Rp&quot;* #,##0_-;\-&quot;Rp&quot;* #,##0_-;_-&quot;Rp&quot;* &quot;-&quot;_-;_-@_-"/>
    <numFmt numFmtId="164" formatCode="[$-F400]h:mm:ss\ AM/PM"/>
    <numFmt numFmtId="165" formatCode="_-[$Rp-3809]* #,##0.00_-;\-[$Rp-3809]* #,##0.00_-;_-[$Rp-3809]* &quot;-&quot;??_-;_-@_-"/>
  </numFmts>
  <fonts count="8" x14ac:knownFonts="1">
    <font>
      <sz val="11"/>
      <color theme="1"/>
      <name val="Century Gothic"/>
      <family val="2"/>
      <scheme val="minor"/>
    </font>
    <font>
      <b/>
      <sz val="11"/>
      <color theme="1"/>
      <name val="Century Gothic"/>
      <family val="2"/>
      <scheme val="minor"/>
    </font>
    <font>
      <sz val="11"/>
      <color rgb="FF000000"/>
      <name val="Arial"/>
      <family val="2"/>
    </font>
    <font>
      <b/>
      <sz val="11"/>
      <color rgb="FF000000"/>
      <name val="Arial"/>
      <family val="2"/>
    </font>
    <font>
      <sz val="12"/>
      <color theme="1"/>
      <name val="Century Gothic"/>
      <family val="2"/>
      <scheme val="minor"/>
    </font>
    <font>
      <sz val="14"/>
      <color theme="1"/>
      <name val="Century Gothic"/>
      <family val="2"/>
      <scheme val="minor"/>
    </font>
    <font>
      <b/>
      <sz val="14"/>
      <color theme="1"/>
      <name val="Century Gothic"/>
      <family val="2"/>
      <scheme val="minor"/>
    </font>
    <font>
      <b/>
      <sz val="36"/>
      <color theme="1"/>
      <name val="Century Gothic"/>
      <family val="2"/>
      <scheme val="minor"/>
    </font>
  </fonts>
  <fills count="5">
    <fill>
      <patternFill patternType="none"/>
    </fill>
    <fill>
      <patternFill patternType="gray125"/>
    </fill>
    <fill>
      <patternFill patternType="solid">
        <fgColor rgb="FFFF0000"/>
        <bgColor indexed="64"/>
      </patternFill>
    </fill>
    <fill>
      <patternFill patternType="solid">
        <fgColor rgb="FF00B050"/>
        <bgColor indexed="64"/>
      </patternFill>
    </fill>
    <fill>
      <patternFill patternType="solid">
        <fgColor theme="4" tint="0.79998168889431442"/>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6">
    <xf numFmtId="0" fontId="0" fillId="0" borderId="0" xfId="0"/>
    <xf numFmtId="0" fontId="1" fillId="0" borderId="1" xfId="0" applyFont="1" applyBorder="1" applyAlignment="1">
      <alignment horizontal="center" vertical="top"/>
    </xf>
    <xf numFmtId="0" fontId="1" fillId="0" borderId="0" xfId="0" applyFont="1"/>
    <xf numFmtId="0" fontId="1" fillId="0" borderId="1" xfId="0" applyFont="1" applyBorder="1" applyAlignment="1">
      <alignment horizontal="center" vertical="center"/>
    </xf>
    <xf numFmtId="0" fontId="2" fillId="0" borderId="1" xfId="0" applyFont="1" applyBorder="1" applyAlignment="1">
      <alignment wrapText="1"/>
    </xf>
    <xf numFmtId="0" fontId="0" fillId="0" borderId="0" xfId="0" pivotButton="1"/>
    <xf numFmtId="0" fontId="0" fillId="0" borderId="0" xfId="0" applyAlignment="1">
      <alignment horizontal="left"/>
    </xf>
    <xf numFmtId="0" fontId="0" fillId="2" borderId="0" xfId="0" applyFill="1"/>
    <xf numFmtId="0" fontId="1" fillId="0" borderId="2" xfId="0" applyFont="1" applyBorder="1" applyAlignment="1">
      <alignment horizontal="center" vertical="center"/>
    </xf>
    <xf numFmtId="0" fontId="0" fillId="0" borderId="0" xfId="0" applyAlignment="1">
      <alignment horizontal="center" vertical="center"/>
    </xf>
    <xf numFmtId="42" fontId="0" fillId="0" borderId="0" xfId="0" applyNumberFormat="1"/>
    <xf numFmtId="0" fontId="0" fillId="2" borderId="0" xfId="0" applyFill="1" applyAlignment="1">
      <alignment horizontal="center" vertical="center"/>
    </xf>
    <xf numFmtId="164" fontId="1" fillId="0" borderId="1" xfId="0" applyNumberFormat="1" applyFont="1" applyBorder="1" applyAlignment="1">
      <alignment horizontal="center" vertical="top"/>
    </xf>
    <xf numFmtId="164" fontId="0" fillId="0" borderId="0" xfId="0" applyNumberFormat="1"/>
    <xf numFmtId="14" fontId="1" fillId="0" borderId="1" xfId="0" applyNumberFormat="1" applyFont="1" applyBorder="1" applyAlignment="1">
      <alignment horizontal="center" vertical="top"/>
    </xf>
    <xf numFmtId="14" fontId="0" fillId="0" borderId="0" xfId="0" applyNumberFormat="1"/>
    <xf numFmtId="42" fontId="1" fillId="0" borderId="1" xfId="0" applyNumberFormat="1" applyFont="1" applyBorder="1" applyAlignment="1">
      <alignment horizontal="center" vertical="top"/>
    </xf>
    <xf numFmtId="42" fontId="1" fillId="3" borderId="2" xfId="0" applyNumberFormat="1" applyFont="1" applyFill="1" applyBorder="1" applyAlignment="1">
      <alignment horizontal="center" vertical="top"/>
    </xf>
    <xf numFmtId="42" fontId="0" fillId="2" borderId="0" xfId="0" applyNumberFormat="1" applyFill="1"/>
    <xf numFmtId="42" fontId="0" fillId="3" borderId="0" xfId="0" applyNumberFormat="1" applyFill="1"/>
    <xf numFmtId="0" fontId="0" fillId="3" borderId="0" xfId="0" applyFill="1"/>
    <xf numFmtId="0" fontId="0" fillId="3" borderId="0" xfId="0" applyFill="1" applyAlignment="1">
      <alignment horizontal="left"/>
    </xf>
    <xf numFmtId="0" fontId="0" fillId="0" borderId="1" xfId="0" applyBorder="1"/>
    <xf numFmtId="42" fontId="0" fillId="0" borderId="1" xfId="0" applyNumberFormat="1" applyBorder="1"/>
    <xf numFmtId="0" fontId="5" fillId="0" borderId="1" xfId="0" applyFont="1" applyBorder="1" applyAlignment="1">
      <alignment horizontal="center" vertical="center"/>
    </xf>
    <xf numFmtId="165" fontId="0" fillId="0" borderId="1" xfId="0" applyNumberFormat="1" applyBorder="1"/>
    <xf numFmtId="0" fontId="0" fillId="0" borderId="6" xfId="0" applyBorder="1"/>
    <xf numFmtId="0" fontId="5" fillId="0" borderId="0" xfId="0" applyFont="1" applyAlignment="1">
      <alignment horizontal="center" vertical="center"/>
    </xf>
    <xf numFmtId="0" fontId="0" fillId="0" borderId="7" xfId="0" applyBorder="1"/>
    <xf numFmtId="0" fontId="0" fillId="0" borderId="8" xfId="0" applyBorder="1"/>
    <xf numFmtId="0" fontId="0" fillId="0" borderId="9" xfId="0" applyBorder="1"/>
    <xf numFmtId="0" fontId="0" fillId="0" borderId="10" xfId="0" applyBorder="1"/>
    <xf numFmtId="0" fontId="1" fillId="4" borderId="1" xfId="0" applyFont="1" applyFill="1" applyBorder="1" applyAlignment="1">
      <alignment horizontal="center" vertical="center"/>
    </xf>
    <xf numFmtId="0" fontId="6" fillId="4" borderId="1" xfId="0" applyFont="1" applyFill="1" applyBorder="1" applyAlignment="1">
      <alignment horizontal="center" vertical="center"/>
    </xf>
    <xf numFmtId="0" fontId="5" fillId="0" borderId="1" xfId="0" applyFont="1" applyBorder="1"/>
    <xf numFmtId="42" fontId="4" fillId="0" borderId="1" xfId="0" applyNumberFormat="1" applyFont="1" applyBorder="1" applyAlignment="1">
      <alignment horizontal="center" vertical="center"/>
    </xf>
    <xf numFmtId="0" fontId="4" fillId="0" borderId="1" xfId="0" applyFont="1" applyBorder="1" applyAlignment="1">
      <alignment horizontal="center" vertical="center"/>
    </xf>
    <xf numFmtId="165" fontId="4" fillId="0" borderId="1" xfId="0" applyNumberFormat="1" applyFont="1" applyBorder="1" applyAlignment="1">
      <alignment horizontal="center" vertical="center"/>
    </xf>
    <xf numFmtId="0" fontId="7" fillId="4" borderId="3" xfId="0" applyFont="1" applyFill="1" applyBorder="1" applyAlignment="1">
      <alignment horizontal="center" vertical="center"/>
    </xf>
    <xf numFmtId="0" fontId="7" fillId="4" borderId="4" xfId="0" applyFont="1" applyFill="1" applyBorder="1" applyAlignment="1">
      <alignment horizontal="center" vertical="center"/>
    </xf>
    <xf numFmtId="0" fontId="7" fillId="4" borderId="5" xfId="0" applyFont="1" applyFill="1" applyBorder="1" applyAlignment="1">
      <alignment horizontal="center" vertical="center"/>
    </xf>
    <xf numFmtId="0" fontId="7" fillId="4" borderId="6" xfId="0" applyFont="1" applyFill="1" applyBorder="1" applyAlignment="1">
      <alignment horizontal="center" vertical="center"/>
    </xf>
    <xf numFmtId="0" fontId="7" fillId="4" borderId="0" xfId="0" applyFont="1" applyFill="1" applyAlignment="1">
      <alignment horizontal="center" vertical="center"/>
    </xf>
    <xf numFmtId="0" fontId="7" fillId="4" borderId="7" xfId="0" applyFont="1" applyFill="1" applyBorder="1" applyAlignment="1">
      <alignment horizontal="center" vertical="center"/>
    </xf>
    <xf numFmtId="0" fontId="0" fillId="0" borderId="0" xfId="0" applyNumberFormat="1"/>
    <xf numFmtId="0" fontId="0" fillId="3" borderId="0" xfId="0" applyNumberFormat="1" applyFill="1"/>
  </cellXfs>
  <cellStyles count="1">
    <cellStyle name="Normal" xfId="0" builtinId="0"/>
  </cellStyles>
  <dxfs count="47">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ont>
        <color rgb="FF9C0006"/>
      </font>
      <fill>
        <patternFill>
          <bgColor rgb="FFFFC7CE"/>
        </patternFill>
      </fill>
    </dxf>
    <dxf>
      <fill>
        <patternFill patternType="solid">
          <bgColor rgb="FF00B05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0B050"/>
        </patternFill>
      </fill>
    </dxf>
    <dxf>
      <fill>
        <patternFill patternType="solid">
          <bgColor rgb="FF00B05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alignment horizont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sz val="14"/>
      </font>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ont>
        <sz val="12"/>
      </font>
    </dxf>
    <dxf>
      <font>
        <sz val="14"/>
      </font>
    </dxf>
    <dxf>
      <alignment horizont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 Rama Adi Saputra.xlsx]DASHBORD PIVOT TABLE!PivotTable14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REVENUE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'DASHBORD PIVOT TABLE'!$B$46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'DASHBORD PIVOT TABLE'!$A$47:$A$50</c:f>
              <c:strCache>
                <c:ptCount val="3"/>
                <c:pt idx="0">
                  <c:v>Jan</c:v>
                </c:pt>
                <c:pt idx="1">
                  <c:v>Feb</c:v>
                </c:pt>
                <c:pt idx="2">
                  <c:v>Mar</c:v>
                </c:pt>
              </c:strCache>
            </c:strRef>
          </c:cat>
          <c:val>
            <c:numRef>
              <c:f>'DASHBORD PIVOT TABLE'!$B$47:$B$50</c:f>
              <c:numCache>
                <c:formatCode>_("Rp"* #,##0_);_("Rp"* \(#,##0\);_("Rp"* "-"_);_(@_)</c:formatCode>
                <c:ptCount val="3"/>
                <c:pt idx="0">
                  <c:v>230620000</c:v>
                </c:pt>
                <c:pt idx="1">
                  <c:v>276335000</c:v>
                </c:pt>
                <c:pt idx="2">
                  <c:v>286590000</c:v>
                </c:pt>
              </c:numCache>
            </c:numRef>
          </c:val>
          <c:smooth val="0"/>
          <c:extLst>
            <c:ext xmlns:c16="http://schemas.microsoft.com/office/drawing/2014/chart" uri="{C3380CC4-5D6E-409C-BE32-E72D297353CC}">
              <c16:uniqueId val="{00000000-4241-400D-A382-1526DCD8BFA6}"/>
            </c:ext>
          </c:extLst>
        </c:ser>
        <c:dLbls>
          <c:showLegendKey val="0"/>
          <c:showVal val="0"/>
          <c:showCatName val="0"/>
          <c:showSerName val="0"/>
          <c:showPercent val="0"/>
          <c:showBubbleSize val="0"/>
        </c:dLbls>
        <c:marker val="1"/>
        <c:smooth val="0"/>
        <c:axId val="1397233168"/>
        <c:axId val="1397242288"/>
      </c:lineChart>
      <c:catAx>
        <c:axId val="1397233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242288"/>
        <c:crosses val="autoZero"/>
        <c:auto val="1"/>
        <c:lblAlgn val="ctr"/>
        <c:lblOffset val="100"/>
        <c:noMultiLvlLbl val="0"/>
      </c:catAx>
      <c:valAx>
        <c:axId val="1397242288"/>
        <c:scaling>
          <c:orientation val="minMax"/>
        </c:scaling>
        <c:delete val="0"/>
        <c:axPos val="l"/>
        <c:majorGridlines>
          <c:spPr>
            <a:ln w="9525" cap="flat" cmpd="sng" algn="ctr">
              <a:solidFill>
                <a:schemeClr val="tx1">
                  <a:lumMod val="15000"/>
                  <a:lumOff val="85000"/>
                </a:schemeClr>
              </a:solidFill>
              <a:round/>
            </a:ln>
            <a:effectLst/>
          </c:spPr>
        </c:majorGridlines>
        <c:numFmt formatCode="_(&quot;Rp&quot;* #,##0_);_(&quot;Rp&quot;* \(#,##0\);_(&quot;Rp&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233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 Rama Adi Saputra.xlsx]DASHBORD PIVOT TABLE!PivotTable11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b="1"/>
              <a:t>QUANTITY</a:t>
            </a:r>
            <a:r>
              <a:rPr lang="en-ID" b="1" baseline="0"/>
              <a:t> BY </a:t>
            </a:r>
            <a:r>
              <a:rPr lang="en-ID" b="1"/>
              <a:t>PRODUCT</a:t>
            </a:r>
            <a:r>
              <a:rPr lang="en-ID" b="1" baseline="0"/>
              <a:t> AND CITY</a:t>
            </a:r>
            <a:endParaRPr lang="en-ID"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'DASHBORD PIVOT TABLE'!$B$9:$B$10</c:f>
              <c:strCache>
                <c:ptCount val="1"/>
                <c:pt idx="0">
                  <c:v>Bandung</c:v>
                </c:pt>
              </c:strCache>
            </c:strRef>
          </c:tx>
          <c:spPr>
            <a:solidFill>
              <a:schemeClr val="accent1"/>
            </a:solidFill>
            <a:ln>
              <a:noFill/>
            </a:ln>
            <a:effectLst/>
          </c:spPr>
          <c:invertIfNegative val="0"/>
          <c:cat>
            <c:strRef>
              <c:f>'DASHBORD PIVOT TABLE'!$A$11:$A$21</c:f>
              <c:strCache>
                <c:ptCount val="10"/>
                <c:pt idx="0">
                  <c:v>Desk Chair</c:v>
                </c:pt>
                <c:pt idx="1">
                  <c:v>Desk Lamp</c:v>
                </c:pt>
                <c:pt idx="2">
                  <c:v>Keyboard</c:v>
                </c:pt>
                <c:pt idx="3">
                  <c:v>Notebook</c:v>
                </c:pt>
                <c:pt idx="4">
                  <c:v>Water Bottle</c:v>
                </c:pt>
                <c:pt idx="5">
                  <c:v>Monitor</c:v>
                </c:pt>
                <c:pt idx="6">
                  <c:v>Mouse</c:v>
                </c:pt>
                <c:pt idx="7">
                  <c:v>Backpack</c:v>
                </c:pt>
                <c:pt idx="8">
                  <c:v>Pen</c:v>
                </c:pt>
                <c:pt idx="9">
                  <c:v>Laptop</c:v>
                </c:pt>
              </c:strCache>
            </c:strRef>
          </c:cat>
          <c:val>
            <c:numRef>
              <c:f>'DASHBORD PIVOT TABLE'!$B$11:$B$21</c:f>
              <c:numCache>
                <c:formatCode>General</c:formatCode>
                <c:ptCount val="10"/>
                <c:pt idx="0">
                  <c:v>5</c:v>
                </c:pt>
                <c:pt idx="1">
                  <c:v>13</c:v>
                </c:pt>
                <c:pt idx="2">
                  <c:v>13</c:v>
                </c:pt>
                <c:pt idx="3">
                  <c:v>10</c:v>
                </c:pt>
                <c:pt idx="4">
                  <c:v>12</c:v>
                </c:pt>
                <c:pt idx="5">
                  <c:v>19</c:v>
                </c:pt>
                <c:pt idx="6">
                  <c:v>16</c:v>
                </c:pt>
                <c:pt idx="7">
                  <c:v>16</c:v>
                </c:pt>
                <c:pt idx="8">
                  <c:v>12</c:v>
                </c:pt>
                <c:pt idx="9">
                  <c:v>10</c:v>
                </c:pt>
              </c:numCache>
            </c:numRef>
          </c:val>
          <c:extLst>
            <c:ext xmlns:c16="http://schemas.microsoft.com/office/drawing/2014/chart" uri="{C3380CC4-5D6E-409C-BE32-E72D297353CC}">
              <c16:uniqueId val="{00000000-4879-4DC9-9A0B-18ADA12AE102}"/>
            </c:ext>
          </c:extLst>
        </c:ser>
        <c:ser>
          <c:idx val="1"/>
          <c:order val="1"/>
          <c:tx>
            <c:strRef>
              <c:f>'DASHBORD PIVOT TABLE'!$C$9:$C$10</c:f>
              <c:strCache>
                <c:ptCount val="1"/>
                <c:pt idx="0">
                  <c:v>Jakarta</c:v>
                </c:pt>
              </c:strCache>
            </c:strRef>
          </c:tx>
          <c:spPr>
            <a:solidFill>
              <a:schemeClr val="accent2"/>
            </a:solidFill>
            <a:ln>
              <a:noFill/>
            </a:ln>
            <a:effectLst/>
          </c:spPr>
          <c:invertIfNegative val="0"/>
          <c:cat>
            <c:strRef>
              <c:f>'DASHBORD PIVOT TABLE'!$A$11:$A$21</c:f>
              <c:strCache>
                <c:ptCount val="10"/>
                <c:pt idx="0">
                  <c:v>Desk Chair</c:v>
                </c:pt>
                <c:pt idx="1">
                  <c:v>Desk Lamp</c:v>
                </c:pt>
                <c:pt idx="2">
                  <c:v>Keyboard</c:v>
                </c:pt>
                <c:pt idx="3">
                  <c:v>Notebook</c:v>
                </c:pt>
                <c:pt idx="4">
                  <c:v>Water Bottle</c:v>
                </c:pt>
                <c:pt idx="5">
                  <c:v>Monitor</c:v>
                </c:pt>
                <c:pt idx="6">
                  <c:v>Mouse</c:v>
                </c:pt>
                <c:pt idx="7">
                  <c:v>Backpack</c:v>
                </c:pt>
                <c:pt idx="8">
                  <c:v>Pen</c:v>
                </c:pt>
                <c:pt idx="9">
                  <c:v>Laptop</c:v>
                </c:pt>
              </c:strCache>
            </c:strRef>
          </c:cat>
          <c:val>
            <c:numRef>
              <c:f>'DASHBORD PIVOT TABLE'!$C$11:$C$21</c:f>
              <c:numCache>
                <c:formatCode>General</c:formatCode>
                <c:ptCount val="10"/>
                <c:pt idx="0">
                  <c:v>24</c:v>
                </c:pt>
                <c:pt idx="1">
                  <c:v>11</c:v>
                </c:pt>
                <c:pt idx="2">
                  <c:v>3</c:v>
                </c:pt>
                <c:pt idx="3">
                  <c:v>17</c:v>
                </c:pt>
                <c:pt idx="4">
                  <c:v>9</c:v>
                </c:pt>
                <c:pt idx="5">
                  <c:v>10</c:v>
                </c:pt>
                <c:pt idx="6">
                  <c:v>17</c:v>
                </c:pt>
                <c:pt idx="7">
                  <c:v>5</c:v>
                </c:pt>
                <c:pt idx="8">
                  <c:v>13</c:v>
                </c:pt>
                <c:pt idx="9">
                  <c:v>24</c:v>
                </c:pt>
              </c:numCache>
            </c:numRef>
          </c:val>
          <c:extLst>
            <c:ext xmlns:c16="http://schemas.microsoft.com/office/drawing/2014/chart" uri="{C3380CC4-5D6E-409C-BE32-E72D297353CC}">
              <c16:uniqueId val="{00000022-4879-4DC9-9A0B-18ADA12AE102}"/>
            </c:ext>
          </c:extLst>
        </c:ser>
        <c:ser>
          <c:idx val="2"/>
          <c:order val="2"/>
          <c:tx>
            <c:strRef>
              <c:f>'DASHBORD PIVOT TABLE'!$D$9:$D$10</c:f>
              <c:strCache>
                <c:ptCount val="1"/>
                <c:pt idx="0">
                  <c:v>Medan</c:v>
                </c:pt>
              </c:strCache>
            </c:strRef>
          </c:tx>
          <c:spPr>
            <a:solidFill>
              <a:schemeClr val="accent3"/>
            </a:solidFill>
            <a:ln>
              <a:noFill/>
            </a:ln>
            <a:effectLst/>
          </c:spPr>
          <c:invertIfNegative val="0"/>
          <c:cat>
            <c:strRef>
              <c:f>'DASHBORD PIVOT TABLE'!$A$11:$A$21</c:f>
              <c:strCache>
                <c:ptCount val="10"/>
                <c:pt idx="0">
                  <c:v>Desk Chair</c:v>
                </c:pt>
                <c:pt idx="1">
                  <c:v>Desk Lamp</c:v>
                </c:pt>
                <c:pt idx="2">
                  <c:v>Keyboard</c:v>
                </c:pt>
                <c:pt idx="3">
                  <c:v>Notebook</c:v>
                </c:pt>
                <c:pt idx="4">
                  <c:v>Water Bottle</c:v>
                </c:pt>
                <c:pt idx="5">
                  <c:v>Monitor</c:v>
                </c:pt>
                <c:pt idx="6">
                  <c:v>Mouse</c:v>
                </c:pt>
                <c:pt idx="7">
                  <c:v>Backpack</c:v>
                </c:pt>
                <c:pt idx="8">
                  <c:v>Pen</c:v>
                </c:pt>
                <c:pt idx="9">
                  <c:v>Laptop</c:v>
                </c:pt>
              </c:strCache>
            </c:strRef>
          </c:cat>
          <c:val>
            <c:numRef>
              <c:f>'DASHBORD PIVOT TABLE'!$D$11:$D$21</c:f>
              <c:numCache>
                <c:formatCode>General</c:formatCode>
                <c:ptCount val="10"/>
                <c:pt idx="0">
                  <c:v>26</c:v>
                </c:pt>
                <c:pt idx="1">
                  <c:v>15</c:v>
                </c:pt>
                <c:pt idx="2">
                  <c:v>11</c:v>
                </c:pt>
                <c:pt idx="3">
                  <c:v>18</c:v>
                </c:pt>
                <c:pt idx="4">
                  <c:v>19</c:v>
                </c:pt>
                <c:pt idx="5">
                  <c:v>19</c:v>
                </c:pt>
                <c:pt idx="6">
                  <c:v>4</c:v>
                </c:pt>
                <c:pt idx="7">
                  <c:v>8</c:v>
                </c:pt>
                <c:pt idx="8">
                  <c:v>6</c:v>
                </c:pt>
                <c:pt idx="9">
                  <c:v>3</c:v>
                </c:pt>
              </c:numCache>
            </c:numRef>
          </c:val>
          <c:extLst>
            <c:ext xmlns:c16="http://schemas.microsoft.com/office/drawing/2014/chart" uri="{C3380CC4-5D6E-409C-BE32-E72D297353CC}">
              <c16:uniqueId val="{00000023-4879-4DC9-9A0B-18ADA12AE102}"/>
            </c:ext>
          </c:extLst>
        </c:ser>
        <c:ser>
          <c:idx val="3"/>
          <c:order val="3"/>
          <c:tx>
            <c:strRef>
              <c:f>'DASHBORD PIVOT TABLE'!$E$9:$E$10</c:f>
              <c:strCache>
                <c:ptCount val="1"/>
                <c:pt idx="0">
                  <c:v>Surabaya</c:v>
                </c:pt>
              </c:strCache>
            </c:strRef>
          </c:tx>
          <c:spPr>
            <a:solidFill>
              <a:schemeClr val="accent4"/>
            </a:solidFill>
            <a:ln>
              <a:noFill/>
            </a:ln>
            <a:effectLst/>
          </c:spPr>
          <c:invertIfNegative val="0"/>
          <c:cat>
            <c:strRef>
              <c:f>'DASHBORD PIVOT TABLE'!$A$11:$A$21</c:f>
              <c:strCache>
                <c:ptCount val="10"/>
                <c:pt idx="0">
                  <c:v>Desk Chair</c:v>
                </c:pt>
                <c:pt idx="1">
                  <c:v>Desk Lamp</c:v>
                </c:pt>
                <c:pt idx="2">
                  <c:v>Keyboard</c:v>
                </c:pt>
                <c:pt idx="3">
                  <c:v>Notebook</c:v>
                </c:pt>
                <c:pt idx="4">
                  <c:v>Water Bottle</c:v>
                </c:pt>
                <c:pt idx="5">
                  <c:v>Monitor</c:v>
                </c:pt>
                <c:pt idx="6">
                  <c:v>Mouse</c:v>
                </c:pt>
                <c:pt idx="7">
                  <c:v>Backpack</c:v>
                </c:pt>
                <c:pt idx="8">
                  <c:v>Pen</c:v>
                </c:pt>
                <c:pt idx="9">
                  <c:v>Laptop</c:v>
                </c:pt>
              </c:strCache>
            </c:strRef>
          </c:cat>
          <c:val>
            <c:numRef>
              <c:f>'DASHBORD PIVOT TABLE'!$E$11:$E$21</c:f>
              <c:numCache>
                <c:formatCode>General</c:formatCode>
                <c:ptCount val="10"/>
                <c:pt idx="0">
                  <c:v>6</c:v>
                </c:pt>
                <c:pt idx="1">
                  <c:v>9</c:v>
                </c:pt>
                <c:pt idx="2">
                  <c:v>22</c:v>
                </c:pt>
                <c:pt idx="3">
                  <c:v>22</c:v>
                </c:pt>
                <c:pt idx="4">
                  <c:v>15</c:v>
                </c:pt>
                <c:pt idx="5">
                  <c:v>6</c:v>
                </c:pt>
                <c:pt idx="6">
                  <c:v>9</c:v>
                </c:pt>
                <c:pt idx="7">
                  <c:v>13</c:v>
                </c:pt>
                <c:pt idx="8">
                  <c:v>14</c:v>
                </c:pt>
                <c:pt idx="9">
                  <c:v>5</c:v>
                </c:pt>
              </c:numCache>
            </c:numRef>
          </c:val>
          <c:extLst>
            <c:ext xmlns:c16="http://schemas.microsoft.com/office/drawing/2014/chart" uri="{C3380CC4-5D6E-409C-BE32-E72D297353CC}">
              <c16:uniqueId val="{00000024-4879-4DC9-9A0B-18ADA12AE102}"/>
            </c:ext>
          </c:extLst>
        </c:ser>
        <c:ser>
          <c:idx val="4"/>
          <c:order val="4"/>
          <c:tx>
            <c:strRef>
              <c:f>'DASHBORD PIVOT TABLE'!$F$9:$F$10</c:f>
              <c:strCache>
                <c:ptCount val="1"/>
                <c:pt idx="0">
                  <c:v>Yogyakarta</c:v>
                </c:pt>
              </c:strCache>
            </c:strRef>
          </c:tx>
          <c:spPr>
            <a:solidFill>
              <a:schemeClr val="accent5"/>
            </a:solidFill>
            <a:ln>
              <a:noFill/>
            </a:ln>
            <a:effectLst/>
          </c:spPr>
          <c:invertIfNegative val="0"/>
          <c:cat>
            <c:strRef>
              <c:f>'DASHBORD PIVOT TABLE'!$A$11:$A$21</c:f>
              <c:strCache>
                <c:ptCount val="10"/>
                <c:pt idx="0">
                  <c:v>Desk Chair</c:v>
                </c:pt>
                <c:pt idx="1">
                  <c:v>Desk Lamp</c:v>
                </c:pt>
                <c:pt idx="2">
                  <c:v>Keyboard</c:v>
                </c:pt>
                <c:pt idx="3">
                  <c:v>Notebook</c:v>
                </c:pt>
                <c:pt idx="4">
                  <c:v>Water Bottle</c:v>
                </c:pt>
                <c:pt idx="5">
                  <c:v>Monitor</c:v>
                </c:pt>
                <c:pt idx="6">
                  <c:v>Mouse</c:v>
                </c:pt>
                <c:pt idx="7">
                  <c:v>Backpack</c:v>
                </c:pt>
                <c:pt idx="8">
                  <c:v>Pen</c:v>
                </c:pt>
                <c:pt idx="9">
                  <c:v>Laptop</c:v>
                </c:pt>
              </c:strCache>
            </c:strRef>
          </c:cat>
          <c:val>
            <c:numRef>
              <c:f>'DASHBORD PIVOT TABLE'!$F$11:$F$21</c:f>
              <c:numCache>
                <c:formatCode>General</c:formatCode>
                <c:ptCount val="10"/>
                <c:pt idx="0">
                  <c:v>22</c:v>
                </c:pt>
                <c:pt idx="1">
                  <c:v>28</c:v>
                </c:pt>
                <c:pt idx="2">
                  <c:v>25</c:v>
                </c:pt>
                <c:pt idx="3">
                  <c:v>5</c:v>
                </c:pt>
                <c:pt idx="4">
                  <c:v>13</c:v>
                </c:pt>
                <c:pt idx="5">
                  <c:v>9</c:v>
                </c:pt>
                <c:pt idx="6">
                  <c:v>13</c:v>
                </c:pt>
                <c:pt idx="7">
                  <c:v>8</c:v>
                </c:pt>
                <c:pt idx="8">
                  <c:v>4</c:v>
                </c:pt>
                <c:pt idx="9">
                  <c:v>3</c:v>
                </c:pt>
              </c:numCache>
            </c:numRef>
          </c:val>
          <c:extLst>
            <c:ext xmlns:c16="http://schemas.microsoft.com/office/drawing/2014/chart" uri="{C3380CC4-5D6E-409C-BE32-E72D297353CC}">
              <c16:uniqueId val="{00000025-4879-4DC9-9A0B-18ADA12AE102}"/>
            </c:ext>
          </c:extLst>
        </c:ser>
        <c:dLbls>
          <c:showLegendKey val="0"/>
          <c:showVal val="0"/>
          <c:showCatName val="0"/>
          <c:showSerName val="0"/>
          <c:showPercent val="0"/>
          <c:showBubbleSize val="0"/>
        </c:dLbls>
        <c:gapWidth val="219"/>
        <c:overlap val="-27"/>
        <c:axId val="1496574432"/>
        <c:axId val="1492770096"/>
      </c:barChart>
      <c:catAx>
        <c:axId val="1496574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770096"/>
        <c:crosses val="autoZero"/>
        <c:auto val="1"/>
        <c:lblAlgn val="ctr"/>
        <c:lblOffset val="100"/>
        <c:noMultiLvlLbl val="0"/>
      </c:catAx>
      <c:valAx>
        <c:axId val="1492770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6574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 Rama Adi Saputra.xlsx]DASHBORD PIVOT TABLE!PivotTable13</c:name>
    <c:fmtId val="3"/>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D" sz="1400" b="1" i="0" u="none" strike="noStrike" cap="all" baseline="0"/>
              <a:t>Top Customers by Purchase Value</a:t>
            </a:r>
            <a:endParaRPr lang="en-US" b="1"/>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'DASHBORD PIVOT TABLE'!$B$32</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316-4C35-8FF5-B7C96DF09AD2}"/>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316-4C35-8FF5-B7C96DF09AD2}"/>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C316-4C35-8FF5-B7C96DF09AD2}"/>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C316-4C35-8FF5-B7C96DF09AD2}"/>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C316-4C35-8FF5-B7C96DF09AD2}"/>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C316-4C35-8FF5-B7C96DF09AD2}"/>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C316-4C35-8FF5-B7C96DF09AD2}"/>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C316-4C35-8FF5-B7C96DF09AD2}"/>
              </c:ext>
            </c:extLst>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C316-4C35-8FF5-B7C96DF09AD2}"/>
              </c:ext>
            </c:extLst>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C316-4C35-8FF5-B7C96DF09AD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'DASHBORD PIVOT TABLE'!$A$33:$A$43</c:f>
              <c:strCache>
                <c:ptCount val="10"/>
                <c:pt idx="0">
                  <c:v>Agus</c:v>
                </c:pt>
                <c:pt idx="1">
                  <c:v>Hana</c:v>
                </c:pt>
                <c:pt idx="2">
                  <c:v>Joko</c:v>
                </c:pt>
                <c:pt idx="3">
                  <c:v>Fajar</c:v>
                </c:pt>
                <c:pt idx="4">
                  <c:v>Eka</c:v>
                </c:pt>
                <c:pt idx="5">
                  <c:v>Gita</c:v>
                </c:pt>
                <c:pt idx="6">
                  <c:v>Dewi</c:v>
                </c:pt>
                <c:pt idx="7">
                  <c:v>Budi</c:v>
                </c:pt>
                <c:pt idx="8">
                  <c:v>Citra</c:v>
                </c:pt>
                <c:pt idx="9">
                  <c:v>Indra</c:v>
                </c:pt>
              </c:strCache>
            </c:strRef>
          </c:cat>
          <c:val>
            <c:numRef>
              <c:f>'DASHBORD PIVOT TABLE'!$B$33:$B$43</c:f>
              <c:numCache>
                <c:formatCode>_("Rp"* #,##0_);_("Rp"* \(#,##0\);_("Rp"* "-"_);_(@_)</c:formatCode>
                <c:ptCount val="10"/>
                <c:pt idx="0">
                  <c:v>151925000</c:v>
                </c:pt>
                <c:pt idx="1">
                  <c:v>126620000</c:v>
                </c:pt>
                <c:pt idx="2">
                  <c:v>94990000</c:v>
                </c:pt>
                <c:pt idx="3">
                  <c:v>90225000</c:v>
                </c:pt>
                <c:pt idx="4">
                  <c:v>80085000</c:v>
                </c:pt>
                <c:pt idx="5">
                  <c:v>62510000</c:v>
                </c:pt>
                <c:pt idx="6">
                  <c:v>55195000</c:v>
                </c:pt>
                <c:pt idx="7">
                  <c:v>54900000</c:v>
                </c:pt>
                <c:pt idx="8">
                  <c:v>45460000</c:v>
                </c:pt>
                <c:pt idx="9">
                  <c:v>31635000</c:v>
                </c:pt>
              </c:numCache>
            </c:numRef>
          </c:val>
          <c:extLst>
            <c:ext xmlns:c16="http://schemas.microsoft.com/office/drawing/2014/chart" uri="{C3380CC4-5D6E-409C-BE32-E72D297353CC}">
              <c16:uniqueId val="{00000000-E24F-4A0E-A0CE-A4F088F92FC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 Rama Adi Saputra.xlsx]DASHBORD PIVOT TABLE!PivotTable12</c:name>
    <c:fmtId val="9"/>
  </c:pivotSource>
  <c:chart>
    <c:title>
      <c:tx>
        <c:rich>
          <a:bodyPr rot="0" spcFirstLastPara="1" vertOverflow="ellipsis" vert="horz" wrap="square" anchor="ctr" anchorCtr="1"/>
          <a:lstStyle/>
          <a:p>
            <a:pPr>
              <a:defRPr sz="1400" b="1" i="0" u="none" strike="noStrike" kern="1200" cap="all" spc="120" normalizeH="0" baseline="0">
                <a:solidFill>
                  <a:schemeClr val="tx1">
                    <a:lumMod val="65000"/>
                    <a:lumOff val="35000"/>
                  </a:schemeClr>
                </a:solidFill>
                <a:latin typeface="+mn-lt"/>
                <a:ea typeface="+mn-ea"/>
                <a:cs typeface="+mn-cs"/>
              </a:defRPr>
            </a:pPr>
            <a:r>
              <a:rPr lang="en-US" sz="1400"/>
              <a:t>PAYMENT</a:t>
            </a:r>
            <a:r>
              <a:rPr lang="en-US" sz="1400" baseline="0"/>
              <a:t> METHOD</a:t>
            </a:r>
            <a:endParaRPr lang="en-US" sz="1400"/>
          </a:p>
        </c:rich>
      </c:tx>
      <c:overlay val="0"/>
      <c:spPr>
        <a:noFill/>
        <a:ln>
          <a:noFill/>
        </a:ln>
        <a:effectLst/>
      </c:spPr>
      <c:txPr>
        <a:bodyPr rot="0" spcFirstLastPara="1" vertOverflow="ellipsis" vert="horz" wrap="square" anchor="ctr" anchorCtr="1"/>
        <a:lstStyle/>
        <a:p>
          <a:pPr>
            <a:defRPr sz="14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'DASHBORD PIVOT TABLE'!$B$24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'DASHBORD PIVOT TABLE'!$A$25:$A$29</c:f>
              <c:strCache>
                <c:ptCount val="4"/>
                <c:pt idx="0">
                  <c:v>Cash</c:v>
                </c:pt>
                <c:pt idx="1">
                  <c:v>Credit Card</c:v>
                </c:pt>
                <c:pt idx="2">
                  <c:v>Debit Card</c:v>
                </c:pt>
                <c:pt idx="3">
                  <c:v>E-Wallet</c:v>
                </c:pt>
              </c:strCache>
            </c:strRef>
          </c:cat>
          <c:val>
            <c:numRef>
              <c:f>'DASHBORD PIVOT TABLE'!$B$25:$B$29</c:f>
              <c:numCache>
                <c:formatCode>General</c:formatCode>
                <c:ptCount val="4"/>
                <c:pt idx="0">
                  <c:v>56</c:v>
                </c:pt>
                <c:pt idx="1">
                  <c:v>46</c:v>
                </c:pt>
                <c:pt idx="2">
                  <c:v>43</c:v>
                </c:pt>
                <c:pt idx="3">
                  <c:v>55</c:v>
                </c:pt>
              </c:numCache>
            </c:numRef>
          </c:val>
          <c:extLst>
            <c:ext xmlns:c16="http://schemas.microsoft.com/office/drawing/2014/chart" uri="{C3380CC4-5D6E-409C-BE32-E72D297353CC}">
              <c16:uniqueId val="{00000000-C07E-4C17-A3A3-05A9F6125509}"/>
            </c:ext>
          </c:extLst>
        </c:ser>
        <c:dLbls>
          <c:dLblPos val="ctr"/>
          <c:showLegendKey val="0"/>
          <c:showVal val="1"/>
          <c:showCatName val="0"/>
          <c:showSerName val="0"/>
          <c:showPercent val="0"/>
          <c:showBubbleSize val="0"/>
        </c:dLbls>
        <c:gapWidth val="79"/>
        <c:overlap val="100"/>
        <c:axId val="1482436064"/>
        <c:axId val="1410195968"/>
      </c:barChart>
      <c:catAx>
        <c:axId val="1482436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410195968"/>
        <c:crosses val="autoZero"/>
        <c:auto val="1"/>
        <c:lblAlgn val="ctr"/>
        <c:lblOffset val="100"/>
        <c:noMultiLvlLbl val="0"/>
      </c:catAx>
      <c:valAx>
        <c:axId val="1410195968"/>
        <c:scaling>
          <c:orientation val="minMax"/>
        </c:scaling>
        <c:delete val="1"/>
        <c:axPos val="b"/>
        <c:numFmt formatCode="General" sourceLinked="1"/>
        <c:majorTickMark val="none"/>
        <c:minorTickMark val="none"/>
        <c:tickLblPos val="nextTo"/>
        <c:crossAx val="1482436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18</xdr:col>
      <xdr:colOff>1293385</xdr:colOff>
      <xdr:row>24</xdr:row>
      <xdr:rowOff>146989</xdr:rowOff>
    </xdr:from>
    <xdr:to>
      <xdr:col>25</xdr:col>
      <xdr:colOff>561731</xdr:colOff>
      <xdr:row>38</xdr:row>
      <xdr:rowOff>97691</xdr:rowOff>
    </xdr:to>
    <xdr:graphicFrame macro="">
      <xdr:nvGraphicFramePr>
        <xdr:cNvPr id="2" name="Chart 1">
          <a:extLst>
            <a:ext uri="{FF2B5EF4-FFF2-40B4-BE49-F238E27FC236}">
              <a16:creationId xmlns:a16="http://schemas.microsoft.com/office/drawing/2014/main" id="{52A5E343-86D2-B7B5-11AF-A48BECD027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2296</xdr:colOff>
      <xdr:row>10</xdr:row>
      <xdr:rowOff>4091</xdr:rowOff>
    </xdr:from>
    <xdr:to>
      <xdr:col>18</xdr:col>
      <xdr:colOff>1160096</xdr:colOff>
      <xdr:row>23</xdr:row>
      <xdr:rowOff>170963</xdr:rowOff>
    </xdr:to>
    <xdr:graphicFrame macro="">
      <xdr:nvGraphicFramePr>
        <xdr:cNvPr id="6" name="Chart 5">
          <a:extLst>
            <a:ext uri="{FF2B5EF4-FFF2-40B4-BE49-F238E27FC236}">
              <a16:creationId xmlns:a16="http://schemas.microsoft.com/office/drawing/2014/main" id="{96F0A382-2639-162D-F835-46FE3435A6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14008</xdr:colOff>
      <xdr:row>24</xdr:row>
      <xdr:rowOff>132908</xdr:rowOff>
    </xdr:from>
    <xdr:to>
      <xdr:col>18</xdr:col>
      <xdr:colOff>1135673</xdr:colOff>
      <xdr:row>38</xdr:row>
      <xdr:rowOff>98680</xdr:rowOff>
    </xdr:to>
    <xdr:graphicFrame macro="">
      <xdr:nvGraphicFramePr>
        <xdr:cNvPr id="9" name="Chart 8">
          <a:extLst>
            <a:ext uri="{FF2B5EF4-FFF2-40B4-BE49-F238E27FC236}">
              <a16:creationId xmlns:a16="http://schemas.microsoft.com/office/drawing/2014/main" id="{64916ABF-31D7-02D2-7D4E-2E3F37BFE6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1303064</xdr:colOff>
      <xdr:row>10</xdr:row>
      <xdr:rowOff>2896</xdr:rowOff>
    </xdr:from>
    <xdr:to>
      <xdr:col>25</xdr:col>
      <xdr:colOff>561731</xdr:colOff>
      <xdr:row>23</xdr:row>
      <xdr:rowOff>179102</xdr:rowOff>
    </xdr:to>
    <xdr:graphicFrame macro="">
      <xdr:nvGraphicFramePr>
        <xdr:cNvPr id="10" name="Chart 9">
          <a:extLst>
            <a:ext uri="{FF2B5EF4-FFF2-40B4-BE49-F238E27FC236}">
              <a16:creationId xmlns:a16="http://schemas.microsoft.com/office/drawing/2014/main" id="{8D5E995D-1196-0EEA-D8A7-B126A18A36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86297</xdr:colOff>
      <xdr:row>3</xdr:row>
      <xdr:rowOff>85783</xdr:rowOff>
    </xdr:from>
    <xdr:to>
      <xdr:col>13</xdr:col>
      <xdr:colOff>620987</xdr:colOff>
      <xdr:row>8</xdr:row>
      <xdr:rowOff>192392</xdr:rowOff>
    </xdr:to>
    <mc:AlternateContent xmlns:mc="http://schemas.openxmlformats.org/markup-compatibility/2006" xmlns:tsle="http://schemas.microsoft.com/office/drawing/2012/timeslicer">
      <mc:Choice Requires="tsle">
        <xdr:graphicFrame macro="">
          <xdr:nvGraphicFramePr>
            <xdr:cNvPr id="11" name="Date">
              <a:extLst>
                <a:ext uri="{FF2B5EF4-FFF2-40B4-BE49-F238E27FC236}">
                  <a16:creationId xmlns:a16="http://schemas.microsoft.com/office/drawing/2014/main" id="{1D599C56-71CD-6307-D649-9A0089A7CC9F}"/>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2207326" y="702107"/>
              <a:ext cx="5801456" cy="1208520"/>
            </a:xfrm>
            <a:prstGeom prst="rect">
              <a:avLst/>
            </a:prstGeom>
            <a:solidFill>
              <a:prstClr val="white"/>
            </a:solidFill>
            <a:ln w="1">
              <a:solidFill>
                <a:prstClr val="green"/>
              </a:solidFill>
            </a:ln>
          </xdr:spPr>
          <xdr:txBody>
            <a:bodyPr vertOverflow="clip" horzOverflow="clip"/>
            <a:lstStyle/>
            <a:p>
              <a:r>
                <a:rPr lang="en-ID" sz="1100"/>
                <a:t>Timeline: Works in Excel 2013 or higher. Do not move or resize.</a:t>
              </a:r>
            </a:p>
          </xdr:txBody>
        </xdr:sp>
      </mc:Fallback>
    </mc:AlternateContent>
    <xdr:clientData/>
  </xdr:twoCellAnchor>
  <xdr:twoCellAnchor editAs="oneCell">
    <xdr:from>
      <xdr:col>10</xdr:col>
      <xdr:colOff>74448</xdr:colOff>
      <xdr:row>10</xdr:row>
      <xdr:rowOff>3933</xdr:rowOff>
    </xdr:from>
    <xdr:to>
      <xdr:col>10</xdr:col>
      <xdr:colOff>2178197</xdr:colOff>
      <xdr:row>23</xdr:row>
      <xdr:rowOff>176006</xdr:rowOff>
    </xdr:to>
    <mc:AlternateContent xmlns:mc="http://schemas.openxmlformats.org/markup-compatibility/2006" xmlns:a14="http://schemas.microsoft.com/office/drawing/2010/main">
      <mc:Choice Requires="a14">
        <xdr:graphicFrame macro="">
          <xdr:nvGraphicFramePr>
            <xdr:cNvPr id="13" name="Product">
              <a:extLst>
                <a:ext uri="{FF2B5EF4-FFF2-40B4-BE49-F238E27FC236}">
                  <a16:creationId xmlns:a16="http://schemas.microsoft.com/office/drawing/2014/main" id="{EE65C1AD-3FF0-7534-1A95-108BCDE849F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2195477" y="2133051"/>
              <a:ext cx="2103749" cy="2842808"/>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2333256</xdr:colOff>
      <xdr:row>10</xdr:row>
      <xdr:rowOff>1467</xdr:rowOff>
    </xdr:from>
    <xdr:to>
      <xdr:col>11</xdr:col>
      <xdr:colOff>538369</xdr:colOff>
      <xdr:row>23</xdr:row>
      <xdr:rowOff>182881</xdr:rowOff>
    </xdr:to>
    <mc:AlternateContent xmlns:mc="http://schemas.openxmlformats.org/markup-compatibility/2006" xmlns:a14="http://schemas.microsoft.com/office/drawing/2010/main">
      <mc:Choice Requires="a14">
        <xdr:graphicFrame macro="">
          <xdr:nvGraphicFramePr>
            <xdr:cNvPr id="14" name="Category">
              <a:extLst>
                <a:ext uri="{FF2B5EF4-FFF2-40B4-BE49-F238E27FC236}">
                  <a16:creationId xmlns:a16="http://schemas.microsoft.com/office/drawing/2014/main" id="{84999925-E0DB-7AE9-53EB-81DF4793898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4454285" y="2130585"/>
              <a:ext cx="2089820" cy="285214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65893</xdr:colOff>
      <xdr:row>24</xdr:row>
      <xdr:rowOff>144811</xdr:rowOff>
    </xdr:from>
    <xdr:to>
      <xdr:col>10</xdr:col>
      <xdr:colOff>2185581</xdr:colOff>
      <xdr:row>38</xdr:row>
      <xdr:rowOff>110755</xdr:rowOff>
    </xdr:to>
    <mc:AlternateContent xmlns:mc="http://schemas.openxmlformats.org/markup-compatibility/2006" xmlns:a14="http://schemas.microsoft.com/office/drawing/2010/main">
      <mc:Choice Requires="a14">
        <xdr:graphicFrame macro="">
          <xdr:nvGraphicFramePr>
            <xdr:cNvPr id="15" name="Payment Method">
              <a:extLst>
                <a:ext uri="{FF2B5EF4-FFF2-40B4-BE49-F238E27FC236}">
                  <a16:creationId xmlns:a16="http://schemas.microsoft.com/office/drawing/2014/main" id="{C842BC50-5F3E-41EC-69D4-BA575F4C8C7E}"/>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2186922" y="5150105"/>
              <a:ext cx="2119688" cy="284212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2333256</xdr:colOff>
      <xdr:row>24</xdr:row>
      <xdr:rowOff>144968</xdr:rowOff>
    </xdr:from>
    <xdr:to>
      <xdr:col>11</xdr:col>
      <xdr:colOff>563879</xdr:colOff>
      <xdr:row>38</xdr:row>
      <xdr:rowOff>106679</xdr:rowOff>
    </xdr:to>
    <mc:AlternateContent xmlns:mc="http://schemas.openxmlformats.org/markup-compatibility/2006" xmlns:a14="http://schemas.microsoft.com/office/drawing/2010/main">
      <mc:Choice Requires="a14">
        <xdr:graphicFrame macro="">
          <xdr:nvGraphicFramePr>
            <xdr:cNvPr id="16" name="Store Location">
              <a:extLst>
                <a:ext uri="{FF2B5EF4-FFF2-40B4-BE49-F238E27FC236}">
                  <a16:creationId xmlns:a16="http://schemas.microsoft.com/office/drawing/2014/main" id="{9E7C9E9C-B378-E852-6947-A8A3D4816A88}"/>
                </a:ext>
              </a:extLst>
            </xdr:cNvPr>
            <xdr:cNvGraphicFramePr/>
          </xdr:nvGraphicFramePr>
          <xdr:xfrm>
            <a:off x="0" y="0"/>
            <a:ext cx="0" cy="0"/>
          </xdr:xfrm>
          <a:graphic>
            <a:graphicData uri="http://schemas.microsoft.com/office/drawing/2010/slicer">
              <sle:slicer xmlns:sle="http://schemas.microsoft.com/office/drawing/2010/slicer" name="Store Location"/>
            </a:graphicData>
          </a:graphic>
        </xdr:graphicFrame>
      </mc:Choice>
      <mc:Fallback xmlns="">
        <xdr:sp macro="" textlink="">
          <xdr:nvSpPr>
            <xdr:cNvPr id="0" name=""/>
            <xdr:cNvSpPr>
              <a:spLocks noTextEdit="1"/>
            </xdr:cNvSpPr>
          </xdr:nvSpPr>
          <xdr:spPr>
            <a:xfrm>
              <a:off x="14454285" y="5150262"/>
              <a:ext cx="2115330" cy="2837888"/>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10" refreshedDate="45905.719251388888" createdVersion="8" refreshedVersion="8" minRefreshableVersion="3" recordCount="200" xr:uid="{5F3046A1-1EF8-4DAD-BD1E-9D1C2B0C3502}">
  <cacheSource type="worksheet">
    <worksheetSource ref="A1:M201" sheet="RAW"/>
  </cacheSource>
  <cacheFields count="15">
    <cacheField name="Transaction ID" numFmtId="0">
      <sharedItems count="200">
        <s v="T0184"/>
        <s v="T0118"/>
        <s v="T0068"/>
        <s v="T0153"/>
        <s v="T0039"/>
        <s v="T0050"/>
        <s v="T0174"/>
        <s v="T0154"/>
        <s v="T0145"/>
        <s v="T0061"/>
        <s v="T0043"/>
        <s v="T0183"/>
        <s v="T0161"/>
        <s v="T0102"/>
        <s v="T0041"/>
        <s v="T0117"/>
        <s v="T0131"/>
        <s v="T0023"/>
        <s v="T0152"/>
        <s v="T0099"/>
        <s v="T0103"/>
        <s v="T0151"/>
        <s v="T0038"/>
        <s v="T0096"/>
        <s v="T0136"/>
        <s v="T0094"/>
        <s v="T0081"/>
        <s v="T0157"/>
        <s v="T0037"/>
        <s v="T0090"/>
        <s v="T0059"/>
        <s v="T0019"/>
        <s v="T0177"/>
        <s v="T0146"/>
        <s v="T0101"/>
        <s v="T0016"/>
        <s v="T0110"/>
        <s v="T0192"/>
        <s v="T0022"/>
        <s v="T0120"/>
        <s v="T0122"/>
        <s v="T0003"/>
        <s v="T0149"/>
        <s v="T0044"/>
        <s v="T0047"/>
        <s v="T0035"/>
        <s v="T0062"/>
        <s v="T0042"/>
        <s v="T0029"/>
        <s v="T0002"/>
        <s v="T0197"/>
        <s v="T0066"/>
        <s v="T0087"/>
        <s v="T0139"/>
        <s v="T0040"/>
        <s v="T0004"/>
        <s v="T0054"/>
        <s v="T0143"/>
        <s v="T0159"/>
        <s v="T0196"/>
        <s v="T0013"/>
        <s v="T0086"/>
        <s v="T0180"/>
        <s v="T0005"/>
        <s v="T0060"/>
        <s v="T0130"/>
        <s v="T0160"/>
        <s v="T0109"/>
        <s v="T0158"/>
        <s v="T0172"/>
        <s v="T0163"/>
        <s v="T0191"/>
        <s v="T0065"/>
        <s v="T0064"/>
        <s v="T0188"/>
        <s v="T0108"/>
        <s v="T0199"/>
        <s v="T0049"/>
        <s v="T0071"/>
        <s v="T0167"/>
        <s v="T0097"/>
        <s v="T0008"/>
        <s v="T0088"/>
        <s v="T0170"/>
        <s v="T0104"/>
        <s v="T0121"/>
        <s v="T0133"/>
        <s v="T0024"/>
        <s v="T0048"/>
        <s v="T0075"/>
        <s v="T0026"/>
        <s v="T0100"/>
        <s v="T0126"/>
        <s v="T0129"/>
        <s v="T0036"/>
        <s v="T0063"/>
        <s v="T0078"/>
        <s v="T0028"/>
        <s v="T0179"/>
        <s v="T0127"/>
        <s v="T0162"/>
        <s v="T0089"/>
        <s v="T0020"/>
        <s v="T0034"/>
        <s v="T0187"/>
        <s v="T0001"/>
        <s v="T0105"/>
        <s v="T0200"/>
        <s v="T0082"/>
        <s v="T0168"/>
        <s v="T0107"/>
        <s v="T0106"/>
        <s v="T0173"/>
        <s v="T0010"/>
        <s v="T0084"/>
        <s v="T0155"/>
        <s v="T0156"/>
        <s v="T0095"/>
        <s v="T0178"/>
        <s v="T0198"/>
        <s v="T0017"/>
        <s v="T0006"/>
        <s v="T0093"/>
        <s v="T0072"/>
        <s v="T0189"/>
        <s v="T0150"/>
        <s v="T0032"/>
        <s v="T0125"/>
        <s v="T0058"/>
        <s v="T0080"/>
        <s v="T0009"/>
        <s v="T0128"/>
        <s v="T0056"/>
        <s v="T0069"/>
        <s v="T0123"/>
        <s v="T0147"/>
        <s v="T0166"/>
        <s v="T0012"/>
        <s v="T0021"/>
        <s v="T0067"/>
        <s v="T0085"/>
        <s v="T0135"/>
        <s v="T0018"/>
        <s v="T0116"/>
        <s v="T0140"/>
        <s v="T0053"/>
        <s v="T0091"/>
        <s v="T0030"/>
        <s v="T0033"/>
        <s v="T0137"/>
        <s v="T0074"/>
        <s v="T0164"/>
        <s v="T0025"/>
        <s v="T0079"/>
        <s v="T0138"/>
        <s v="T0142"/>
        <s v="T0186"/>
        <s v="T0148"/>
        <s v="T0195"/>
        <s v="T0111"/>
        <s v="T0193"/>
        <s v="T0112"/>
        <s v="T0132"/>
        <s v="T0007"/>
        <s v="T0027"/>
        <s v="T0057"/>
        <s v="T0144"/>
        <s v="T0046"/>
        <s v="T0051"/>
        <s v="T0014"/>
        <s v="T0098"/>
        <s v="T0083"/>
        <s v="T0092"/>
        <s v="T0055"/>
        <s v="T0141"/>
        <s v="T0176"/>
        <s v="T0070"/>
        <s v="T0119"/>
        <s v="T0011"/>
        <s v="T0015"/>
        <s v="T0031"/>
        <s v="T0073"/>
        <s v="T0114"/>
        <s v="T0181"/>
        <s v="T0045"/>
        <s v="T0182"/>
        <s v="T0171"/>
        <s v="T0165"/>
        <s v="T0185"/>
        <s v="T0077"/>
        <s v="T0113"/>
        <s v="T0190"/>
        <s v="T0115"/>
        <s v="T0124"/>
        <s v="T0134"/>
        <s v="T0169"/>
        <s v="T0052"/>
        <s v="T0076"/>
        <s v="T0194"/>
        <s v="T0175"/>
      </sharedItems>
    </cacheField>
    <cacheField name="Date" numFmtId="14">
      <sharedItems containsSemiMixedTypes="0" containsNonDate="0" containsDate="1" containsString="0" minDate="2024-01-02T00:00:00" maxDate="2024-03-30T00:00:00" count="76">
        <d v="2024-01-03T00:00:00"/>
        <d v="2024-01-04T00:00:00"/>
        <d v="2024-01-05T00:00:00"/>
        <d v="2024-01-08T00:00:00"/>
        <d v="2024-01-11T00:00:00"/>
        <d v="2024-01-12T00:00:00"/>
        <d v="2024-01-15T00:00:00"/>
        <d v="2024-01-16T00:00:00"/>
        <d v="2024-01-21T00:00:00"/>
        <d v="2024-01-22T00:00:00"/>
        <d v="2024-01-31T00:00:00"/>
        <d v="2024-02-01T00:00:00"/>
        <d v="2024-02-03T00:00:00"/>
        <d v="2024-02-05T00:00:00"/>
        <d v="2024-02-06T00:00:00"/>
        <d v="2024-02-07T00:00:00"/>
        <d v="2024-02-12T00:00:00"/>
        <d v="2024-02-13T00:00:00"/>
        <d v="2024-02-14T00:00:00"/>
        <d v="2024-02-15T00:00:00"/>
        <d v="2024-02-18T00:00:00"/>
        <d v="2024-02-23T00:00:00"/>
        <d v="2024-02-26T00:00:00"/>
        <d v="2024-03-01T00:00:00"/>
        <d v="2024-03-05T00:00:00"/>
        <d v="2024-03-06T00:00:00"/>
        <d v="2024-03-08T00:00:00"/>
        <d v="2024-03-10T00:00:00"/>
        <d v="2024-03-23T00:00:00"/>
        <d v="2024-03-24T00:00:00"/>
        <d v="2024-03-27T00:00:00"/>
        <d v="2024-01-02T00:00:00"/>
        <d v="2024-01-06T00:00:00"/>
        <d v="2024-01-10T00:00:00"/>
        <d v="2024-01-13T00:00:00"/>
        <d v="2024-01-17T00:00:00"/>
        <d v="2024-01-18T00:00:00"/>
        <d v="2024-01-23T00:00:00"/>
        <d v="2024-01-25T00:00:00"/>
        <d v="2024-01-26T00:00:00"/>
        <d v="2024-01-28T00:00:00"/>
        <d v="2024-01-29T00:00:00"/>
        <d v="2024-02-02T00:00:00"/>
        <d v="2024-02-09T00:00:00"/>
        <d v="2024-02-16T00:00:00"/>
        <d v="2024-02-17T00:00:00"/>
        <d v="2024-02-21T00:00:00"/>
        <d v="2024-02-22T00:00:00"/>
        <d v="2024-02-28T00:00:00"/>
        <d v="2024-03-03T00:00:00"/>
        <d v="2024-03-07T00:00:00"/>
        <d v="2024-03-09T00:00:00"/>
        <d v="2024-03-11T00:00:00"/>
        <d v="2024-03-13T00:00:00"/>
        <d v="2024-03-15T00:00:00"/>
        <d v="2024-03-16T00:00:00"/>
        <d v="2024-03-17T00:00:00"/>
        <d v="2024-03-19T00:00:00"/>
        <d v="2024-03-21T00:00:00"/>
        <d v="2024-03-22T00:00:00"/>
        <d v="2024-03-25T00:00:00"/>
        <d v="2024-03-26T00:00:00"/>
        <d v="2024-01-07T00:00:00"/>
        <d v="2024-01-20T00:00:00"/>
        <d v="2024-01-24T00:00:00"/>
        <d v="2024-02-08T00:00:00"/>
        <d v="2024-02-11T00:00:00"/>
        <d v="2024-02-24T00:00:00"/>
        <d v="2024-02-25T00:00:00"/>
        <d v="2024-02-27T00:00:00"/>
        <d v="2024-03-14T00:00:00"/>
        <d v="2024-03-18T00:00:00"/>
        <d v="2024-03-29T00:00:00"/>
        <d v="2024-01-27T00:00:00"/>
        <d v="2024-03-02T00:00:00"/>
        <d v="2024-03-04T00:00:00"/>
      </sharedItems>
      <fieldGroup par="14"/>
    </cacheField>
    <cacheField name="Time" numFmtId="164">
      <sharedItems containsSemiMixedTypes="0" containsNonDate="0" containsDate="1" containsString="0" minDate="1899-12-30T00:00:00" maxDate="1899-12-31T00:00:00"/>
    </cacheField>
    <cacheField name="Customer Name" numFmtId="0">
      <sharedItems count="10">
        <s v="Agus"/>
        <s v="Citra"/>
        <s v="Dewi"/>
        <s v="Fajar"/>
        <s v="Budi"/>
        <s v="Joko"/>
        <s v="Gita"/>
        <s v="Hana"/>
        <s v="Eka"/>
        <s v="Indra"/>
      </sharedItems>
    </cacheField>
    <cacheField name="Product" numFmtId="0">
      <sharedItems count="10">
        <s v="Water Bottle"/>
        <s v="Backpack"/>
        <s v="Mouse"/>
        <s v="Monitor"/>
        <s v="Keyboard"/>
        <s v="Laptop"/>
        <s v="Desk Lamp"/>
        <s v="Desk Chair"/>
        <s v="Notebook"/>
        <s v="Pen"/>
      </sharedItems>
    </cacheField>
    <cacheField name="Category" numFmtId="0">
      <sharedItems count="4">
        <s v="Accessories"/>
        <s v="Electronics"/>
        <s v="Furniture"/>
        <s v="Stationery"/>
      </sharedItems>
    </cacheField>
    <cacheField name="Quantity" numFmtId="0">
      <sharedItems containsSemiMixedTypes="0" containsString="0" containsNumber="1" containsInteger="1" minValue="1" maxValue="5" count="5">
        <n v="3"/>
        <n v="2"/>
        <n v="1"/>
        <n v="5"/>
        <n v="4"/>
      </sharedItems>
    </cacheField>
    <cacheField name="Unit Price" numFmtId="42">
      <sharedItems containsSemiMixedTypes="0" containsString="0" containsNumber="1" containsInteger="1" minValue="5000" maxValue="10000000"/>
    </cacheField>
    <cacheField name="Total Price" numFmtId="42">
      <sharedItems containsSemiMixedTypes="0" containsString="0" containsNumber="1" containsInteger="1" minValue="5000" maxValue="50010000"/>
    </cacheField>
    <cacheField name="Total Price Fixed" numFmtId="42">
      <sharedItems containsSemiMixedTypes="0" containsString="0" containsNumber="1" containsInteger="1" minValue="5000" maxValue="50000000"/>
    </cacheField>
    <cacheField name="Cek Kebenaran Total Price" numFmtId="0">
      <sharedItems/>
    </cacheField>
    <cacheField name="Payment Method" numFmtId="0">
      <sharedItems count="4">
        <s v="Cash"/>
        <s v="E-Wallet"/>
        <s v="Debit Card"/>
        <s v="Credit Card"/>
      </sharedItems>
    </cacheField>
    <cacheField name="Store Location" numFmtId="0">
      <sharedItems count="5">
        <s v="Yogyakarta"/>
        <s v="Bandung"/>
        <s v="Surabaya"/>
        <s v="Medan"/>
        <s v="Jakarta"/>
      </sharedItems>
    </cacheField>
    <cacheField name="Days (Date)" numFmtId="0" databaseField="0">
      <fieldGroup base="1">
        <rangePr groupBy="days" startDate="2024-01-02T00:00:00" endDate="2024-03-30T00:00:00"/>
        <groupItems count="368">
          <s v="&lt;02/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4"/>
        </groupItems>
      </fieldGroup>
    </cacheField>
    <cacheField name="Months (Date)" numFmtId="0" databaseField="0">
      <fieldGroup base="1">
        <rangePr groupBy="months" startDate="2024-01-02T00:00:00" endDate="2024-03-30T00:00:00"/>
        <groupItems count="14">
          <s v="&lt;02/01/2024"/>
          <s v="Jan"/>
          <s v="Feb"/>
          <s v="Mar"/>
          <s v="Apr"/>
          <s v="May"/>
          <s v="Jun"/>
          <s v="Jul"/>
          <s v="Aug"/>
          <s v="Sep"/>
          <s v="Oct"/>
          <s v="Nov"/>
          <s v="Dec"/>
          <s v="&gt;30/03/2024"/>
        </groupItems>
      </fieldGroup>
    </cacheField>
  </cacheFields>
  <extLst>
    <ext xmlns:x14="http://schemas.microsoft.com/office/spreadsheetml/2009/9/main" uri="{725AE2AE-9491-48be-B2B4-4EB974FC3084}">
      <x14:pivotCacheDefinition pivotCacheId="5508977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d v="1899-12-30T00:00:00"/>
    <x v="0"/>
    <x v="0"/>
    <x v="0"/>
    <x v="0"/>
    <n v="75000"/>
    <n v="225000"/>
    <n v="225000"/>
    <s v="TRUE"/>
    <x v="0"/>
    <x v="0"/>
  </r>
  <r>
    <x v="1"/>
    <x v="1"/>
    <d v="1899-12-30T00:00:00"/>
    <x v="1"/>
    <x v="1"/>
    <x v="0"/>
    <x v="0"/>
    <n v="350000"/>
    <n v="1050000"/>
    <n v="1050000"/>
    <s v="TRUE"/>
    <x v="1"/>
    <x v="1"/>
  </r>
  <r>
    <x v="2"/>
    <x v="2"/>
    <d v="1899-12-30T00:00:00"/>
    <x v="2"/>
    <x v="1"/>
    <x v="0"/>
    <x v="1"/>
    <n v="350000"/>
    <n v="700000"/>
    <n v="700000"/>
    <s v="TRUE"/>
    <x v="1"/>
    <x v="2"/>
  </r>
  <r>
    <x v="3"/>
    <x v="2"/>
    <d v="1899-12-30T00:00:00"/>
    <x v="3"/>
    <x v="1"/>
    <x v="0"/>
    <x v="2"/>
    <n v="350000"/>
    <n v="350000"/>
    <n v="350000"/>
    <s v="TRUE"/>
    <x v="2"/>
    <x v="2"/>
  </r>
  <r>
    <x v="4"/>
    <x v="3"/>
    <d v="1899-12-30T00:00:00"/>
    <x v="4"/>
    <x v="0"/>
    <x v="0"/>
    <x v="0"/>
    <n v="75000"/>
    <n v="225000"/>
    <n v="225000"/>
    <s v="TRUE"/>
    <x v="3"/>
    <x v="1"/>
  </r>
  <r>
    <x v="5"/>
    <x v="4"/>
    <d v="1899-12-30T00:00:00"/>
    <x v="5"/>
    <x v="0"/>
    <x v="0"/>
    <x v="3"/>
    <n v="75000"/>
    <n v="375000"/>
    <n v="375000"/>
    <s v="TRUE"/>
    <x v="2"/>
    <x v="2"/>
  </r>
  <r>
    <x v="6"/>
    <x v="5"/>
    <d v="1899-12-30T00:00:00"/>
    <x v="4"/>
    <x v="0"/>
    <x v="0"/>
    <x v="2"/>
    <n v="75000"/>
    <n v="75000"/>
    <n v="75000"/>
    <s v="TRUE"/>
    <x v="1"/>
    <x v="1"/>
  </r>
  <r>
    <x v="7"/>
    <x v="6"/>
    <d v="1899-12-30T00:00:00"/>
    <x v="0"/>
    <x v="0"/>
    <x v="0"/>
    <x v="3"/>
    <n v="75000"/>
    <n v="375000"/>
    <n v="375000"/>
    <s v="TRUE"/>
    <x v="1"/>
    <x v="3"/>
  </r>
  <r>
    <x v="8"/>
    <x v="7"/>
    <d v="1899-12-30T00:00:00"/>
    <x v="6"/>
    <x v="1"/>
    <x v="0"/>
    <x v="0"/>
    <n v="350000"/>
    <n v="1050000"/>
    <n v="1050000"/>
    <s v="TRUE"/>
    <x v="2"/>
    <x v="0"/>
  </r>
  <r>
    <x v="9"/>
    <x v="8"/>
    <d v="1899-12-30T00:00:00"/>
    <x v="6"/>
    <x v="1"/>
    <x v="0"/>
    <x v="3"/>
    <n v="350000"/>
    <n v="1750000"/>
    <n v="1750000"/>
    <s v="TRUE"/>
    <x v="0"/>
    <x v="4"/>
  </r>
  <r>
    <x v="10"/>
    <x v="9"/>
    <d v="1899-12-30T00:00:00"/>
    <x v="7"/>
    <x v="0"/>
    <x v="0"/>
    <x v="4"/>
    <n v="75000"/>
    <n v="300000"/>
    <n v="300000"/>
    <s v="TRUE"/>
    <x v="3"/>
    <x v="3"/>
  </r>
  <r>
    <x v="11"/>
    <x v="10"/>
    <d v="1899-12-30T00:00:00"/>
    <x v="3"/>
    <x v="0"/>
    <x v="0"/>
    <x v="3"/>
    <n v="75000"/>
    <n v="375000"/>
    <n v="375000"/>
    <s v="TRUE"/>
    <x v="2"/>
    <x v="2"/>
  </r>
  <r>
    <x v="12"/>
    <x v="11"/>
    <d v="1899-12-30T00:00:00"/>
    <x v="1"/>
    <x v="1"/>
    <x v="0"/>
    <x v="3"/>
    <n v="350000"/>
    <n v="1750000"/>
    <n v="1750000"/>
    <s v="TRUE"/>
    <x v="1"/>
    <x v="1"/>
  </r>
  <r>
    <x v="13"/>
    <x v="12"/>
    <d v="1899-12-30T00:00:00"/>
    <x v="2"/>
    <x v="0"/>
    <x v="0"/>
    <x v="0"/>
    <n v="75000"/>
    <n v="225000"/>
    <n v="225000"/>
    <s v="TRUE"/>
    <x v="1"/>
    <x v="2"/>
  </r>
  <r>
    <x v="14"/>
    <x v="13"/>
    <d v="1899-12-30T00:00:00"/>
    <x v="4"/>
    <x v="1"/>
    <x v="0"/>
    <x v="1"/>
    <n v="350000"/>
    <n v="700000"/>
    <n v="700000"/>
    <s v="TRUE"/>
    <x v="1"/>
    <x v="0"/>
  </r>
  <r>
    <x v="15"/>
    <x v="13"/>
    <d v="1899-12-30T00:00:00"/>
    <x v="7"/>
    <x v="1"/>
    <x v="0"/>
    <x v="1"/>
    <n v="350000"/>
    <n v="700000"/>
    <n v="700000"/>
    <s v="TRUE"/>
    <x v="1"/>
    <x v="2"/>
  </r>
  <r>
    <x v="16"/>
    <x v="14"/>
    <d v="1899-12-30T00:00:00"/>
    <x v="7"/>
    <x v="1"/>
    <x v="0"/>
    <x v="4"/>
    <n v="350000"/>
    <n v="1400000"/>
    <n v="1400000"/>
    <s v="TRUE"/>
    <x v="2"/>
    <x v="1"/>
  </r>
  <r>
    <x v="17"/>
    <x v="15"/>
    <d v="1899-12-30T00:00:00"/>
    <x v="7"/>
    <x v="0"/>
    <x v="0"/>
    <x v="1"/>
    <n v="75000"/>
    <n v="150000"/>
    <n v="150000"/>
    <s v="TRUE"/>
    <x v="0"/>
    <x v="2"/>
  </r>
  <r>
    <x v="18"/>
    <x v="16"/>
    <d v="1899-12-30T00:00:00"/>
    <x v="8"/>
    <x v="0"/>
    <x v="0"/>
    <x v="4"/>
    <n v="75000"/>
    <n v="300000"/>
    <n v="300000"/>
    <s v="TRUE"/>
    <x v="1"/>
    <x v="0"/>
  </r>
  <r>
    <x v="19"/>
    <x v="17"/>
    <d v="1899-12-30T00:00:00"/>
    <x v="7"/>
    <x v="0"/>
    <x v="0"/>
    <x v="1"/>
    <n v="75000"/>
    <n v="150000"/>
    <n v="150000"/>
    <s v="TRUE"/>
    <x v="3"/>
    <x v="0"/>
  </r>
  <r>
    <x v="20"/>
    <x v="17"/>
    <d v="1899-12-30T00:00:00"/>
    <x v="6"/>
    <x v="0"/>
    <x v="0"/>
    <x v="0"/>
    <n v="75000"/>
    <n v="225000"/>
    <n v="225000"/>
    <s v="TRUE"/>
    <x v="2"/>
    <x v="4"/>
  </r>
  <r>
    <x v="21"/>
    <x v="18"/>
    <d v="1899-12-30T00:00:00"/>
    <x v="3"/>
    <x v="0"/>
    <x v="0"/>
    <x v="0"/>
    <n v="75000"/>
    <n v="225000"/>
    <n v="225000"/>
    <s v="TRUE"/>
    <x v="0"/>
    <x v="1"/>
  </r>
  <r>
    <x v="22"/>
    <x v="19"/>
    <d v="1899-12-30T00:00:00"/>
    <x v="7"/>
    <x v="0"/>
    <x v="0"/>
    <x v="4"/>
    <n v="75000"/>
    <n v="300000"/>
    <n v="300000"/>
    <s v="TRUE"/>
    <x v="0"/>
    <x v="4"/>
  </r>
  <r>
    <x v="23"/>
    <x v="20"/>
    <d v="1899-12-30T00:00:00"/>
    <x v="3"/>
    <x v="1"/>
    <x v="0"/>
    <x v="2"/>
    <n v="350000"/>
    <n v="350000"/>
    <n v="350000"/>
    <s v="TRUE"/>
    <x v="2"/>
    <x v="3"/>
  </r>
  <r>
    <x v="24"/>
    <x v="20"/>
    <d v="1899-12-30T00:00:00"/>
    <x v="8"/>
    <x v="1"/>
    <x v="0"/>
    <x v="4"/>
    <n v="350000"/>
    <n v="1400000"/>
    <n v="1400000"/>
    <s v="TRUE"/>
    <x v="1"/>
    <x v="2"/>
  </r>
  <r>
    <x v="25"/>
    <x v="21"/>
    <d v="1899-12-30T00:00:00"/>
    <x v="9"/>
    <x v="0"/>
    <x v="0"/>
    <x v="0"/>
    <n v="75000"/>
    <n v="225000"/>
    <n v="225000"/>
    <s v="TRUE"/>
    <x v="1"/>
    <x v="3"/>
  </r>
  <r>
    <x v="26"/>
    <x v="22"/>
    <d v="1899-12-30T00:00:00"/>
    <x v="9"/>
    <x v="1"/>
    <x v="0"/>
    <x v="1"/>
    <n v="350000"/>
    <n v="700000"/>
    <n v="700000"/>
    <s v="TRUE"/>
    <x v="1"/>
    <x v="1"/>
  </r>
  <r>
    <x v="27"/>
    <x v="22"/>
    <d v="1899-12-30T00:00:00"/>
    <x v="0"/>
    <x v="1"/>
    <x v="0"/>
    <x v="2"/>
    <n v="350000"/>
    <n v="350000"/>
    <n v="350000"/>
    <s v="TRUE"/>
    <x v="3"/>
    <x v="1"/>
  </r>
  <r>
    <x v="28"/>
    <x v="23"/>
    <d v="1899-12-30T00:00:00"/>
    <x v="4"/>
    <x v="0"/>
    <x v="0"/>
    <x v="1"/>
    <n v="75000"/>
    <n v="150000"/>
    <n v="150000"/>
    <s v="TRUE"/>
    <x v="0"/>
    <x v="3"/>
  </r>
  <r>
    <x v="29"/>
    <x v="23"/>
    <d v="1899-12-30T00:00:00"/>
    <x v="2"/>
    <x v="1"/>
    <x v="0"/>
    <x v="0"/>
    <n v="350000"/>
    <n v="1050000"/>
    <n v="1050000"/>
    <s v="TRUE"/>
    <x v="2"/>
    <x v="0"/>
  </r>
  <r>
    <x v="30"/>
    <x v="24"/>
    <d v="1899-12-30T00:00:00"/>
    <x v="0"/>
    <x v="1"/>
    <x v="0"/>
    <x v="0"/>
    <n v="350000"/>
    <n v="1050000"/>
    <n v="1050000"/>
    <s v="TRUE"/>
    <x v="0"/>
    <x v="3"/>
  </r>
  <r>
    <x v="31"/>
    <x v="25"/>
    <d v="1899-12-30T00:00:00"/>
    <x v="0"/>
    <x v="1"/>
    <x v="0"/>
    <x v="2"/>
    <n v="350000"/>
    <n v="350000"/>
    <n v="350000"/>
    <s v="TRUE"/>
    <x v="0"/>
    <x v="1"/>
  </r>
  <r>
    <x v="32"/>
    <x v="26"/>
    <d v="1899-12-30T00:00:00"/>
    <x v="1"/>
    <x v="0"/>
    <x v="0"/>
    <x v="3"/>
    <n v="75000"/>
    <n v="375000"/>
    <n v="375000"/>
    <s v="TRUE"/>
    <x v="3"/>
    <x v="1"/>
  </r>
  <r>
    <x v="33"/>
    <x v="27"/>
    <d v="1899-12-30T00:00:00"/>
    <x v="4"/>
    <x v="1"/>
    <x v="0"/>
    <x v="4"/>
    <n v="350000"/>
    <n v="1400000"/>
    <n v="1400000"/>
    <s v="TRUE"/>
    <x v="0"/>
    <x v="3"/>
  </r>
  <r>
    <x v="34"/>
    <x v="28"/>
    <d v="1899-12-30T00:00:00"/>
    <x v="7"/>
    <x v="0"/>
    <x v="0"/>
    <x v="1"/>
    <n v="75000"/>
    <n v="150000"/>
    <n v="150000"/>
    <s v="TRUE"/>
    <x v="3"/>
    <x v="4"/>
  </r>
  <r>
    <x v="35"/>
    <x v="29"/>
    <d v="1899-12-30T00:00:00"/>
    <x v="7"/>
    <x v="1"/>
    <x v="0"/>
    <x v="4"/>
    <n v="350000"/>
    <n v="1400000"/>
    <n v="1400000"/>
    <s v="TRUE"/>
    <x v="3"/>
    <x v="2"/>
  </r>
  <r>
    <x v="36"/>
    <x v="30"/>
    <d v="1899-12-30T00:00:00"/>
    <x v="2"/>
    <x v="0"/>
    <x v="0"/>
    <x v="4"/>
    <n v="75000"/>
    <n v="300000"/>
    <n v="300000"/>
    <s v="TRUE"/>
    <x v="0"/>
    <x v="0"/>
  </r>
  <r>
    <x v="37"/>
    <x v="30"/>
    <d v="1899-12-30T00:00:00"/>
    <x v="3"/>
    <x v="0"/>
    <x v="0"/>
    <x v="3"/>
    <n v="75000"/>
    <n v="375000"/>
    <n v="375000"/>
    <s v="TRUE"/>
    <x v="0"/>
    <x v="3"/>
  </r>
  <r>
    <x v="38"/>
    <x v="31"/>
    <d v="1899-12-30T00:00:00"/>
    <x v="8"/>
    <x v="2"/>
    <x v="1"/>
    <x v="3"/>
    <n v="150000"/>
    <n v="750000"/>
    <n v="750000"/>
    <s v="TRUE"/>
    <x v="2"/>
    <x v="4"/>
  </r>
  <r>
    <x v="39"/>
    <x v="31"/>
    <d v="1899-12-30T00:00:00"/>
    <x v="4"/>
    <x v="3"/>
    <x v="1"/>
    <x v="1"/>
    <n v="2500000"/>
    <n v="5000000"/>
    <n v="5000000"/>
    <s v="TRUE"/>
    <x v="3"/>
    <x v="3"/>
  </r>
  <r>
    <x v="40"/>
    <x v="0"/>
    <d v="1899-12-30T00:00:00"/>
    <x v="2"/>
    <x v="2"/>
    <x v="1"/>
    <x v="0"/>
    <n v="150000"/>
    <n v="450000"/>
    <n v="450000"/>
    <s v="TRUE"/>
    <x v="1"/>
    <x v="1"/>
  </r>
  <r>
    <x v="41"/>
    <x v="1"/>
    <d v="1899-12-30T00:00:00"/>
    <x v="2"/>
    <x v="2"/>
    <x v="1"/>
    <x v="1"/>
    <n v="150000"/>
    <n v="300000"/>
    <n v="300000"/>
    <s v="TRUE"/>
    <x v="0"/>
    <x v="0"/>
  </r>
  <r>
    <x v="42"/>
    <x v="32"/>
    <d v="1899-12-30T00:00:00"/>
    <x v="9"/>
    <x v="4"/>
    <x v="1"/>
    <x v="4"/>
    <n v="300000"/>
    <n v="1200000"/>
    <n v="1200000"/>
    <s v="TRUE"/>
    <x v="1"/>
    <x v="2"/>
  </r>
  <r>
    <x v="43"/>
    <x v="3"/>
    <d v="1899-12-30T00:00:00"/>
    <x v="0"/>
    <x v="4"/>
    <x v="1"/>
    <x v="4"/>
    <n v="300000"/>
    <n v="1200000"/>
    <n v="1200000"/>
    <s v="TRUE"/>
    <x v="1"/>
    <x v="2"/>
  </r>
  <r>
    <x v="44"/>
    <x v="3"/>
    <d v="1899-12-30T00:00:00"/>
    <x v="7"/>
    <x v="5"/>
    <x v="1"/>
    <x v="3"/>
    <n v="10000000"/>
    <n v="50000000"/>
    <n v="50000000"/>
    <s v="TRUE"/>
    <x v="3"/>
    <x v="4"/>
  </r>
  <r>
    <x v="45"/>
    <x v="33"/>
    <d v="1899-12-30T00:00:00"/>
    <x v="8"/>
    <x v="3"/>
    <x v="1"/>
    <x v="1"/>
    <n v="2500000"/>
    <n v="5000000"/>
    <n v="5000000"/>
    <s v="TRUE"/>
    <x v="1"/>
    <x v="1"/>
  </r>
  <r>
    <x v="46"/>
    <x v="33"/>
    <d v="1899-12-30T00:00:00"/>
    <x v="0"/>
    <x v="4"/>
    <x v="1"/>
    <x v="3"/>
    <n v="300000"/>
    <n v="1500000"/>
    <n v="1500000"/>
    <s v="TRUE"/>
    <x v="2"/>
    <x v="0"/>
  </r>
  <r>
    <x v="47"/>
    <x v="34"/>
    <d v="1899-12-30T00:00:00"/>
    <x v="0"/>
    <x v="5"/>
    <x v="1"/>
    <x v="3"/>
    <n v="10000000"/>
    <n v="50010000"/>
    <n v="50000000"/>
    <s v="FALSE"/>
    <x v="0"/>
    <x v="1"/>
  </r>
  <r>
    <x v="48"/>
    <x v="35"/>
    <d v="1899-12-30T00:00:00"/>
    <x v="9"/>
    <x v="4"/>
    <x v="1"/>
    <x v="4"/>
    <n v="300000"/>
    <n v="1200000"/>
    <n v="1200000"/>
    <s v="TRUE"/>
    <x v="3"/>
    <x v="2"/>
  </r>
  <r>
    <x v="49"/>
    <x v="36"/>
    <d v="1899-12-30T00:00:00"/>
    <x v="4"/>
    <x v="2"/>
    <x v="1"/>
    <x v="3"/>
    <n v="150000"/>
    <n v="750000"/>
    <n v="750000"/>
    <s v="TRUE"/>
    <x v="1"/>
    <x v="4"/>
  </r>
  <r>
    <x v="50"/>
    <x v="36"/>
    <d v="1899-12-30T00:00:00"/>
    <x v="8"/>
    <x v="5"/>
    <x v="1"/>
    <x v="2"/>
    <n v="10000000"/>
    <n v="10000000"/>
    <n v="10000000"/>
    <s v="TRUE"/>
    <x v="1"/>
    <x v="4"/>
  </r>
  <r>
    <x v="51"/>
    <x v="8"/>
    <d v="1899-12-30T00:00:00"/>
    <x v="0"/>
    <x v="4"/>
    <x v="1"/>
    <x v="4"/>
    <n v="300000"/>
    <n v="1200000"/>
    <n v="1200000"/>
    <s v="TRUE"/>
    <x v="3"/>
    <x v="2"/>
  </r>
  <r>
    <x v="52"/>
    <x v="37"/>
    <d v="1899-12-30T00:00:00"/>
    <x v="0"/>
    <x v="3"/>
    <x v="1"/>
    <x v="4"/>
    <n v="2500000"/>
    <n v="10000000"/>
    <n v="10000000"/>
    <s v="TRUE"/>
    <x v="3"/>
    <x v="4"/>
  </r>
  <r>
    <x v="53"/>
    <x v="37"/>
    <d v="1899-12-30T00:00:00"/>
    <x v="1"/>
    <x v="3"/>
    <x v="1"/>
    <x v="2"/>
    <n v="2500000"/>
    <n v="2500000"/>
    <n v="2500000"/>
    <s v="TRUE"/>
    <x v="0"/>
    <x v="3"/>
  </r>
  <r>
    <x v="54"/>
    <x v="38"/>
    <d v="1899-12-30T00:00:00"/>
    <x v="1"/>
    <x v="3"/>
    <x v="1"/>
    <x v="4"/>
    <n v="2500000"/>
    <n v="10000000"/>
    <n v="10000000"/>
    <s v="TRUE"/>
    <x v="1"/>
    <x v="1"/>
  </r>
  <r>
    <x v="55"/>
    <x v="39"/>
    <d v="1899-12-30T00:00:00"/>
    <x v="2"/>
    <x v="3"/>
    <x v="1"/>
    <x v="4"/>
    <n v="2500000"/>
    <n v="10000000"/>
    <n v="10000000"/>
    <s v="TRUE"/>
    <x v="1"/>
    <x v="0"/>
  </r>
  <r>
    <x v="56"/>
    <x v="40"/>
    <d v="1899-12-30T00:00:00"/>
    <x v="1"/>
    <x v="3"/>
    <x v="1"/>
    <x v="0"/>
    <n v="2500000"/>
    <n v="7500000"/>
    <n v="7500000"/>
    <s v="TRUE"/>
    <x v="2"/>
    <x v="4"/>
  </r>
  <r>
    <x v="57"/>
    <x v="41"/>
    <d v="1899-12-30T00:00:00"/>
    <x v="1"/>
    <x v="4"/>
    <x v="1"/>
    <x v="0"/>
    <n v="300000"/>
    <n v="900000"/>
    <n v="900000"/>
    <s v="TRUE"/>
    <x v="0"/>
    <x v="4"/>
  </r>
  <r>
    <x v="58"/>
    <x v="41"/>
    <d v="1899-12-30T00:00:00"/>
    <x v="4"/>
    <x v="2"/>
    <x v="1"/>
    <x v="4"/>
    <n v="150000"/>
    <n v="600000"/>
    <n v="600000"/>
    <s v="TRUE"/>
    <x v="3"/>
    <x v="3"/>
  </r>
  <r>
    <x v="59"/>
    <x v="41"/>
    <d v="1899-12-30T00:00:00"/>
    <x v="8"/>
    <x v="2"/>
    <x v="1"/>
    <x v="4"/>
    <n v="150000"/>
    <n v="600000"/>
    <n v="600000"/>
    <s v="TRUE"/>
    <x v="1"/>
    <x v="4"/>
  </r>
  <r>
    <x v="60"/>
    <x v="11"/>
    <d v="1899-12-30T00:00:00"/>
    <x v="6"/>
    <x v="4"/>
    <x v="1"/>
    <x v="4"/>
    <n v="300000"/>
    <n v="1200000"/>
    <n v="1200000"/>
    <s v="TRUE"/>
    <x v="2"/>
    <x v="0"/>
  </r>
  <r>
    <x v="61"/>
    <x v="11"/>
    <d v="1899-12-30T00:00:00"/>
    <x v="4"/>
    <x v="4"/>
    <x v="1"/>
    <x v="2"/>
    <n v="300000"/>
    <n v="300000"/>
    <n v="300000"/>
    <s v="TRUE"/>
    <x v="1"/>
    <x v="1"/>
  </r>
  <r>
    <x v="62"/>
    <x v="42"/>
    <d v="1899-12-30T00:00:00"/>
    <x v="8"/>
    <x v="5"/>
    <x v="1"/>
    <x v="4"/>
    <n v="10000000"/>
    <n v="40000000"/>
    <n v="40000000"/>
    <s v="TRUE"/>
    <x v="3"/>
    <x v="4"/>
  </r>
  <r>
    <x v="63"/>
    <x v="13"/>
    <d v="1899-12-30T00:00:00"/>
    <x v="6"/>
    <x v="5"/>
    <x v="1"/>
    <x v="1"/>
    <n v="10000000"/>
    <n v="20000000"/>
    <n v="20000000"/>
    <s v="TRUE"/>
    <x v="2"/>
    <x v="2"/>
  </r>
  <r>
    <x v="64"/>
    <x v="13"/>
    <d v="1899-12-30T00:00:00"/>
    <x v="3"/>
    <x v="5"/>
    <x v="1"/>
    <x v="2"/>
    <n v="10000000"/>
    <n v="10000000"/>
    <n v="10000000"/>
    <s v="TRUE"/>
    <x v="3"/>
    <x v="2"/>
  </r>
  <r>
    <x v="65"/>
    <x v="15"/>
    <d v="1899-12-30T00:00:00"/>
    <x v="4"/>
    <x v="4"/>
    <x v="1"/>
    <x v="4"/>
    <n v="300000"/>
    <n v="1200000"/>
    <n v="1200000"/>
    <s v="TRUE"/>
    <x v="0"/>
    <x v="0"/>
  </r>
  <r>
    <x v="66"/>
    <x v="15"/>
    <d v="1899-12-30T00:00:00"/>
    <x v="6"/>
    <x v="3"/>
    <x v="1"/>
    <x v="0"/>
    <n v="2500000"/>
    <n v="7500000"/>
    <n v="7500000"/>
    <s v="TRUE"/>
    <x v="1"/>
    <x v="3"/>
  </r>
  <r>
    <x v="67"/>
    <x v="43"/>
    <d v="1899-12-30T00:00:00"/>
    <x v="0"/>
    <x v="2"/>
    <x v="1"/>
    <x v="3"/>
    <n v="150000"/>
    <n v="750000"/>
    <n v="750000"/>
    <s v="TRUE"/>
    <x v="2"/>
    <x v="0"/>
  </r>
  <r>
    <x v="68"/>
    <x v="43"/>
    <d v="1899-12-30T00:00:00"/>
    <x v="9"/>
    <x v="3"/>
    <x v="1"/>
    <x v="2"/>
    <n v="2500000"/>
    <n v="2500000"/>
    <n v="2500000"/>
    <s v="TRUE"/>
    <x v="1"/>
    <x v="4"/>
  </r>
  <r>
    <x v="69"/>
    <x v="16"/>
    <d v="1899-12-30T00:00:00"/>
    <x v="3"/>
    <x v="3"/>
    <x v="1"/>
    <x v="4"/>
    <n v="2500000"/>
    <n v="10000000"/>
    <n v="10000000"/>
    <s v="TRUE"/>
    <x v="1"/>
    <x v="0"/>
  </r>
  <r>
    <x v="70"/>
    <x v="17"/>
    <d v="1899-12-30T00:00:00"/>
    <x v="0"/>
    <x v="3"/>
    <x v="1"/>
    <x v="0"/>
    <n v="2500000"/>
    <n v="7500000"/>
    <n v="7500000"/>
    <s v="TRUE"/>
    <x v="2"/>
    <x v="2"/>
  </r>
  <r>
    <x v="71"/>
    <x v="17"/>
    <d v="1899-12-30T00:00:00"/>
    <x v="4"/>
    <x v="2"/>
    <x v="1"/>
    <x v="4"/>
    <n v="150000"/>
    <n v="600000"/>
    <n v="600000"/>
    <s v="TRUE"/>
    <x v="3"/>
    <x v="1"/>
  </r>
  <r>
    <x v="72"/>
    <x v="19"/>
    <d v="1899-12-30T00:00:00"/>
    <x v="5"/>
    <x v="3"/>
    <x v="1"/>
    <x v="4"/>
    <n v="2500000"/>
    <n v="10000000"/>
    <n v="10000000"/>
    <s v="TRUE"/>
    <x v="3"/>
    <x v="1"/>
  </r>
  <r>
    <x v="73"/>
    <x v="44"/>
    <d v="1899-12-30T00:00:00"/>
    <x v="2"/>
    <x v="5"/>
    <x v="1"/>
    <x v="0"/>
    <n v="10000000"/>
    <n v="30000000"/>
    <n v="30000000"/>
    <s v="TRUE"/>
    <x v="3"/>
    <x v="4"/>
  </r>
  <r>
    <x v="74"/>
    <x v="44"/>
    <d v="1899-12-30T00:00:00"/>
    <x v="8"/>
    <x v="4"/>
    <x v="1"/>
    <x v="2"/>
    <n v="300000"/>
    <n v="300000"/>
    <n v="300000"/>
    <s v="TRUE"/>
    <x v="2"/>
    <x v="3"/>
  </r>
  <r>
    <x v="75"/>
    <x v="45"/>
    <d v="1899-12-30T00:00:00"/>
    <x v="5"/>
    <x v="4"/>
    <x v="1"/>
    <x v="3"/>
    <n v="300000"/>
    <n v="1500000"/>
    <n v="1500000"/>
    <s v="TRUE"/>
    <x v="0"/>
    <x v="1"/>
  </r>
  <r>
    <x v="76"/>
    <x v="45"/>
    <d v="1899-12-30T00:00:00"/>
    <x v="5"/>
    <x v="3"/>
    <x v="1"/>
    <x v="4"/>
    <n v="2500000"/>
    <n v="10000000"/>
    <n v="10000000"/>
    <s v="TRUE"/>
    <x v="3"/>
    <x v="3"/>
  </r>
  <r>
    <x v="77"/>
    <x v="46"/>
    <d v="1899-12-30T00:00:00"/>
    <x v="2"/>
    <x v="2"/>
    <x v="1"/>
    <x v="3"/>
    <n v="150000"/>
    <n v="750000"/>
    <n v="750000"/>
    <s v="TRUE"/>
    <x v="0"/>
    <x v="0"/>
  </r>
  <r>
    <x v="78"/>
    <x v="46"/>
    <d v="1899-12-30T00:00:00"/>
    <x v="0"/>
    <x v="3"/>
    <x v="1"/>
    <x v="0"/>
    <n v="2500000"/>
    <n v="7500000"/>
    <n v="7500000"/>
    <s v="TRUE"/>
    <x v="0"/>
    <x v="2"/>
  </r>
  <r>
    <x v="79"/>
    <x v="47"/>
    <d v="1899-12-30T00:00:00"/>
    <x v="7"/>
    <x v="5"/>
    <x v="1"/>
    <x v="0"/>
    <n v="10000000"/>
    <n v="30000000"/>
    <n v="30000000"/>
    <s v="TRUE"/>
    <x v="1"/>
    <x v="3"/>
  </r>
  <r>
    <x v="80"/>
    <x v="21"/>
    <d v="1899-12-30T00:00:00"/>
    <x v="5"/>
    <x v="3"/>
    <x v="1"/>
    <x v="3"/>
    <n v="2500000"/>
    <n v="12500000"/>
    <n v="12500000"/>
    <s v="TRUE"/>
    <x v="3"/>
    <x v="3"/>
  </r>
  <r>
    <x v="81"/>
    <x v="48"/>
    <d v="1899-12-30T00:00:00"/>
    <x v="6"/>
    <x v="3"/>
    <x v="1"/>
    <x v="2"/>
    <n v="2500000"/>
    <n v="2500000"/>
    <n v="2500000"/>
    <s v="TRUE"/>
    <x v="0"/>
    <x v="0"/>
  </r>
  <r>
    <x v="82"/>
    <x v="48"/>
    <d v="1899-12-30T00:00:00"/>
    <x v="9"/>
    <x v="4"/>
    <x v="1"/>
    <x v="4"/>
    <n v="300000"/>
    <n v="1200000"/>
    <n v="1200000"/>
    <s v="TRUE"/>
    <x v="2"/>
    <x v="3"/>
  </r>
  <r>
    <x v="83"/>
    <x v="48"/>
    <d v="1899-12-30T00:00:00"/>
    <x v="6"/>
    <x v="5"/>
    <x v="1"/>
    <x v="1"/>
    <n v="10000000"/>
    <n v="20000000"/>
    <n v="20000000"/>
    <s v="TRUE"/>
    <x v="3"/>
    <x v="4"/>
  </r>
  <r>
    <x v="84"/>
    <x v="23"/>
    <d v="1899-12-30T00:00:00"/>
    <x v="0"/>
    <x v="5"/>
    <x v="1"/>
    <x v="3"/>
    <n v="10000000"/>
    <n v="50000000"/>
    <n v="50000000"/>
    <s v="TRUE"/>
    <x v="2"/>
    <x v="1"/>
  </r>
  <r>
    <x v="85"/>
    <x v="49"/>
    <d v="1899-12-30T00:00:00"/>
    <x v="7"/>
    <x v="3"/>
    <x v="1"/>
    <x v="1"/>
    <n v="2500000"/>
    <n v="5000000"/>
    <n v="5000000"/>
    <s v="TRUE"/>
    <x v="1"/>
    <x v="3"/>
  </r>
  <r>
    <x v="86"/>
    <x v="49"/>
    <d v="1899-12-30T00:00:00"/>
    <x v="0"/>
    <x v="2"/>
    <x v="1"/>
    <x v="3"/>
    <n v="150000"/>
    <n v="750000"/>
    <n v="750000"/>
    <s v="TRUE"/>
    <x v="3"/>
    <x v="1"/>
  </r>
  <r>
    <x v="87"/>
    <x v="24"/>
    <d v="1899-12-30T00:00:00"/>
    <x v="4"/>
    <x v="4"/>
    <x v="1"/>
    <x v="3"/>
    <n v="300000"/>
    <n v="1500000"/>
    <n v="1500000"/>
    <s v="TRUE"/>
    <x v="2"/>
    <x v="0"/>
  </r>
  <r>
    <x v="88"/>
    <x v="25"/>
    <d v="1899-12-30T00:00:00"/>
    <x v="4"/>
    <x v="2"/>
    <x v="1"/>
    <x v="1"/>
    <n v="150000"/>
    <n v="300000"/>
    <n v="300000"/>
    <s v="TRUE"/>
    <x v="0"/>
    <x v="1"/>
  </r>
  <r>
    <x v="89"/>
    <x v="50"/>
    <d v="1899-12-30T00:00:00"/>
    <x v="3"/>
    <x v="3"/>
    <x v="1"/>
    <x v="1"/>
    <n v="2500000"/>
    <n v="5000000"/>
    <n v="5000000"/>
    <s v="TRUE"/>
    <x v="1"/>
    <x v="4"/>
  </r>
  <r>
    <x v="90"/>
    <x v="26"/>
    <d v="1899-12-30T00:00:00"/>
    <x v="3"/>
    <x v="5"/>
    <x v="1"/>
    <x v="3"/>
    <n v="10000000"/>
    <n v="50000000"/>
    <n v="50000000"/>
    <s v="TRUE"/>
    <x v="1"/>
    <x v="4"/>
  </r>
  <r>
    <x v="91"/>
    <x v="51"/>
    <d v="1899-12-30T00:00:00"/>
    <x v="5"/>
    <x v="5"/>
    <x v="1"/>
    <x v="4"/>
    <n v="10000000"/>
    <n v="40000000"/>
    <n v="40000000"/>
    <s v="TRUE"/>
    <x v="0"/>
    <x v="4"/>
  </r>
  <r>
    <x v="92"/>
    <x v="51"/>
    <d v="1899-12-30T00:00:00"/>
    <x v="2"/>
    <x v="4"/>
    <x v="1"/>
    <x v="1"/>
    <n v="300000"/>
    <n v="600000"/>
    <n v="600000"/>
    <s v="TRUE"/>
    <x v="1"/>
    <x v="2"/>
  </r>
  <r>
    <x v="93"/>
    <x v="51"/>
    <d v="1899-12-30T00:00:00"/>
    <x v="0"/>
    <x v="4"/>
    <x v="1"/>
    <x v="0"/>
    <n v="300000"/>
    <n v="900000"/>
    <n v="900000"/>
    <s v="TRUE"/>
    <x v="0"/>
    <x v="0"/>
  </r>
  <r>
    <x v="94"/>
    <x v="27"/>
    <d v="1899-12-30T00:00:00"/>
    <x v="5"/>
    <x v="4"/>
    <x v="1"/>
    <x v="3"/>
    <n v="300000"/>
    <n v="1500000"/>
    <n v="1500000"/>
    <s v="TRUE"/>
    <x v="1"/>
    <x v="1"/>
  </r>
  <r>
    <x v="95"/>
    <x v="52"/>
    <d v="1899-12-30T00:00:00"/>
    <x v="1"/>
    <x v="4"/>
    <x v="1"/>
    <x v="4"/>
    <n v="300000"/>
    <n v="1200000"/>
    <n v="1200000"/>
    <s v="TRUE"/>
    <x v="0"/>
    <x v="2"/>
  </r>
  <r>
    <x v="96"/>
    <x v="52"/>
    <d v="1899-12-30T00:00:00"/>
    <x v="6"/>
    <x v="4"/>
    <x v="1"/>
    <x v="1"/>
    <n v="300000"/>
    <n v="600000"/>
    <n v="600000"/>
    <s v="TRUE"/>
    <x v="1"/>
    <x v="1"/>
  </r>
  <r>
    <x v="97"/>
    <x v="53"/>
    <d v="1899-12-30T00:00:00"/>
    <x v="7"/>
    <x v="2"/>
    <x v="1"/>
    <x v="2"/>
    <n v="150000"/>
    <n v="150000"/>
    <n v="150000"/>
    <s v="TRUE"/>
    <x v="0"/>
    <x v="0"/>
  </r>
  <r>
    <x v="98"/>
    <x v="54"/>
    <d v="1899-12-30T00:00:00"/>
    <x v="7"/>
    <x v="4"/>
    <x v="1"/>
    <x v="1"/>
    <n v="300000"/>
    <n v="600000"/>
    <n v="600000"/>
    <s v="TRUE"/>
    <x v="2"/>
    <x v="3"/>
  </r>
  <r>
    <x v="99"/>
    <x v="55"/>
    <d v="1899-12-30T00:00:00"/>
    <x v="8"/>
    <x v="3"/>
    <x v="1"/>
    <x v="3"/>
    <n v="2500000"/>
    <n v="12500000"/>
    <n v="12500000"/>
    <s v="TRUE"/>
    <x v="0"/>
    <x v="1"/>
  </r>
  <r>
    <x v="100"/>
    <x v="56"/>
    <d v="1899-12-30T00:00:00"/>
    <x v="4"/>
    <x v="3"/>
    <x v="1"/>
    <x v="1"/>
    <n v="2500000"/>
    <n v="5000000"/>
    <n v="5000000"/>
    <s v="TRUE"/>
    <x v="2"/>
    <x v="3"/>
  </r>
  <r>
    <x v="101"/>
    <x v="57"/>
    <d v="1899-12-30T00:00:00"/>
    <x v="9"/>
    <x v="3"/>
    <x v="1"/>
    <x v="4"/>
    <n v="2500000"/>
    <n v="10000000"/>
    <n v="10000000"/>
    <s v="TRUE"/>
    <x v="1"/>
    <x v="1"/>
  </r>
  <r>
    <x v="102"/>
    <x v="58"/>
    <d v="1899-12-30T00:00:00"/>
    <x v="5"/>
    <x v="4"/>
    <x v="1"/>
    <x v="4"/>
    <n v="300000"/>
    <n v="1200000"/>
    <n v="1200000"/>
    <s v="TRUE"/>
    <x v="0"/>
    <x v="3"/>
  </r>
  <r>
    <x v="103"/>
    <x v="58"/>
    <d v="1899-12-30T00:00:00"/>
    <x v="4"/>
    <x v="5"/>
    <x v="1"/>
    <x v="1"/>
    <n v="10000000"/>
    <n v="20000000"/>
    <n v="20000000"/>
    <s v="TRUE"/>
    <x v="0"/>
    <x v="2"/>
  </r>
  <r>
    <x v="104"/>
    <x v="58"/>
    <d v="1899-12-30T00:00:00"/>
    <x v="7"/>
    <x v="5"/>
    <x v="1"/>
    <x v="0"/>
    <n v="10000000"/>
    <n v="30000000"/>
    <n v="30000000"/>
    <s v="TRUE"/>
    <x v="0"/>
    <x v="0"/>
  </r>
  <r>
    <x v="105"/>
    <x v="59"/>
    <d v="1899-12-30T00:00:00"/>
    <x v="8"/>
    <x v="2"/>
    <x v="1"/>
    <x v="2"/>
    <n v="150000"/>
    <n v="150000"/>
    <n v="150000"/>
    <s v="TRUE"/>
    <x v="3"/>
    <x v="1"/>
  </r>
  <r>
    <x v="106"/>
    <x v="29"/>
    <d v="1899-12-30T00:00:00"/>
    <x v="0"/>
    <x v="2"/>
    <x v="1"/>
    <x v="2"/>
    <n v="150000"/>
    <n v="150000"/>
    <n v="150000"/>
    <s v="TRUE"/>
    <x v="3"/>
    <x v="1"/>
  </r>
  <r>
    <x v="107"/>
    <x v="29"/>
    <d v="1899-12-30T00:00:00"/>
    <x v="5"/>
    <x v="2"/>
    <x v="1"/>
    <x v="4"/>
    <n v="150000"/>
    <n v="600000"/>
    <n v="600000"/>
    <s v="TRUE"/>
    <x v="1"/>
    <x v="2"/>
  </r>
  <r>
    <x v="108"/>
    <x v="60"/>
    <d v="1899-12-30T00:00:00"/>
    <x v="9"/>
    <x v="2"/>
    <x v="1"/>
    <x v="0"/>
    <n v="150000"/>
    <n v="450000"/>
    <n v="450000"/>
    <s v="TRUE"/>
    <x v="2"/>
    <x v="4"/>
  </r>
  <r>
    <x v="109"/>
    <x v="60"/>
    <d v="1899-12-30T00:00:00"/>
    <x v="0"/>
    <x v="4"/>
    <x v="1"/>
    <x v="4"/>
    <n v="300000"/>
    <n v="1200000"/>
    <n v="1200000"/>
    <s v="TRUE"/>
    <x v="3"/>
    <x v="0"/>
  </r>
  <r>
    <x v="110"/>
    <x v="61"/>
    <d v="1899-12-30T00:00:00"/>
    <x v="2"/>
    <x v="2"/>
    <x v="1"/>
    <x v="3"/>
    <n v="150000"/>
    <n v="750000"/>
    <n v="750000"/>
    <s v="TRUE"/>
    <x v="1"/>
    <x v="2"/>
  </r>
  <r>
    <x v="111"/>
    <x v="0"/>
    <d v="1899-12-30T00:00:00"/>
    <x v="2"/>
    <x v="6"/>
    <x v="2"/>
    <x v="1"/>
    <n v="350000"/>
    <n v="700000"/>
    <n v="700000"/>
    <s v="TRUE"/>
    <x v="3"/>
    <x v="3"/>
  </r>
  <r>
    <x v="112"/>
    <x v="2"/>
    <d v="1899-12-30T00:00:00"/>
    <x v="2"/>
    <x v="6"/>
    <x v="2"/>
    <x v="2"/>
    <n v="350000"/>
    <n v="350000"/>
    <n v="350000"/>
    <s v="TRUE"/>
    <x v="2"/>
    <x v="1"/>
  </r>
  <r>
    <x v="113"/>
    <x v="32"/>
    <d v="1899-12-30T00:00:00"/>
    <x v="4"/>
    <x v="7"/>
    <x v="2"/>
    <x v="0"/>
    <n v="1250000"/>
    <n v="3750000"/>
    <n v="3750000"/>
    <s v="TRUE"/>
    <x v="3"/>
    <x v="4"/>
  </r>
  <r>
    <x v="114"/>
    <x v="32"/>
    <d v="1899-12-30T00:00:00"/>
    <x v="5"/>
    <x v="7"/>
    <x v="2"/>
    <x v="4"/>
    <n v="1250000"/>
    <n v="5000000"/>
    <n v="5000000"/>
    <s v="TRUE"/>
    <x v="0"/>
    <x v="3"/>
  </r>
  <r>
    <x v="115"/>
    <x v="62"/>
    <d v="1899-12-30T00:00:00"/>
    <x v="3"/>
    <x v="7"/>
    <x v="2"/>
    <x v="3"/>
    <n v="1250000"/>
    <n v="6250000"/>
    <n v="6250000"/>
    <s v="TRUE"/>
    <x v="1"/>
    <x v="3"/>
  </r>
  <r>
    <x v="116"/>
    <x v="62"/>
    <d v="1899-12-30T00:00:00"/>
    <x v="9"/>
    <x v="7"/>
    <x v="2"/>
    <x v="0"/>
    <n v="1250000"/>
    <n v="3750000"/>
    <n v="3750000"/>
    <s v="TRUE"/>
    <x v="3"/>
    <x v="2"/>
  </r>
  <r>
    <x v="117"/>
    <x v="3"/>
    <d v="1899-12-30T00:00:00"/>
    <x v="6"/>
    <x v="7"/>
    <x v="2"/>
    <x v="4"/>
    <n v="1250000"/>
    <n v="5000000"/>
    <n v="5000000"/>
    <s v="TRUE"/>
    <x v="0"/>
    <x v="0"/>
  </r>
  <r>
    <x v="118"/>
    <x v="4"/>
    <d v="1899-12-30T00:00:00"/>
    <x v="5"/>
    <x v="6"/>
    <x v="2"/>
    <x v="4"/>
    <n v="350000"/>
    <n v="1400000"/>
    <n v="1400000"/>
    <s v="TRUE"/>
    <x v="3"/>
    <x v="3"/>
  </r>
  <r>
    <x v="119"/>
    <x v="34"/>
    <d v="1899-12-30T00:00:00"/>
    <x v="1"/>
    <x v="7"/>
    <x v="2"/>
    <x v="3"/>
    <n v="1250000"/>
    <n v="6250000"/>
    <n v="6250000"/>
    <s v="TRUE"/>
    <x v="1"/>
    <x v="3"/>
  </r>
  <r>
    <x v="120"/>
    <x v="36"/>
    <d v="1899-12-30T00:00:00"/>
    <x v="9"/>
    <x v="7"/>
    <x v="2"/>
    <x v="3"/>
    <n v="1250000"/>
    <n v="6250000"/>
    <n v="6250000"/>
    <s v="TRUE"/>
    <x v="2"/>
    <x v="0"/>
  </r>
  <r>
    <x v="121"/>
    <x v="63"/>
    <d v="1899-12-30T00:00:00"/>
    <x v="4"/>
    <x v="7"/>
    <x v="2"/>
    <x v="0"/>
    <n v="1250000"/>
    <n v="3750000"/>
    <n v="3750000"/>
    <s v="TRUE"/>
    <x v="0"/>
    <x v="3"/>
  </r>
  <r>
    <x v="122"/>
    <x v="63"/>
    <d v="1899-12-30T00:00:00"/>
    <x v="1"/>
    <x v="7"/>
    <x v="2"/>
    <x v="4"/>
    <n v="1250000"/>
    <n v="5000000"/>
    <n v="5000000"/>
    <s v="TRUE"/>
    <x v="3"/>
    <x v="4"/>
  </r>
  <r>
    <x v="123"/>
    <x v="37"/>
    <d v="1899-12-30T00:00:00"/>
    <x v="0"/>
    <x v="6"/>
    <x v="2"/>
    <x v="0"/>
    <n v="350000"/>
    <n v="1050000"/>
    <n v="1050000"/>
    <s v="TRUE"/>
    <x v="0"/>
    <x v="0"/>
  </r>
  <r>
    <x v="124"/>
    <x v="37"/>
    <d v="1899-12-30T00:00:00"/>
    <x v="9"/>
    <x v="7"/>
    <x v="2"/>
    <x v="1"/>
    <n v="1250000"/>
    <n v="2500000"/>
    <n v="2500000"/>
    <s v="TRUE"/>
    <x v="2"/>
    <x v="0"/>
  </r>
  <r>
    <x v="125"/>
    <x v="64"/>
    <d v="1899-12-30T00:00:00"/>
    <x v="7"/>
    <x v="6"/>
    <x v="2"/>
    <x v="4"/>
    <n v="350000"/>
    <n v="1400000"/>
    <n v="1400000"/>
    <s v="TRUE"/>
    <x v="0"/>
    <x v="3"/>
  </r>
  <r>
    <x v="126"/>
    <x v="11"/>
    <d v="1899-12-30T00:00:00"/>
    <x v="3"/>
    <x v="7"/>
    <x v="2"/>
    <x v="2"/>
    <n v="1250000"/>
    <n v="1250000"/>
    <n v="1250000"/>
    <s v="TRUE"/>
    <x v="0"/>
    <x v="0"/>
  </r>
  <r>
    <x v="127"/>
    <x v="42"/>
    <d v="1899-12-30T00:00:00"/>
    <x v="2"/>
    <x v="7"/>
    <x v="2"/>
    <x v="2"/>
    <n v="1250000"/>
    <n v="1250000"/>
    <n v="1250000"/>
    <s v="TRUE"/>
    <x v="2"/>
    <x v="4"/>
  </r>
  <r>
    <x v="128"/>
    <x v="14"/>
    <d v="1899-12-30T00:00:00"/>
    <x v="3"/>
    <x v="6"/>
    <x v="2"/>
    <x v="1"/>
    <n v="350000"/>
    <n v="700000"/>
    <n v="700000"/>
    <s v="TRUE"/>
    <x v="3"/>
    <x v="2"/>
  </r>
  <r>
    <x v="129"/>
    <x v="14"/>
    <d v="1899-12-30T00:00:00"/>
    <x v="5"/>
    <x v="7"/>
    <x v="2"/>
    <x v="4"/>
    <n v="1250000"/>
    <n v="5000000"/>
    <n v="5000000"/>
    <s v="TRUE"/>
    <x v="2"/>
    <x v="3"/>
  </r>
  <r>
    <x v="130"/>
    <x v="15"/>
    <d v="1899-12-30T00:00:00"/>
    <x v="5"/>
    <x v="6"/>
    <x v="2"/>
    <x v="0"/>
    <n v="350000"/>
    <n v="1050000"/>
    <n v="1050000"/>
    <s v="TRUE"/>
    <x v="3"/>
    <x v="4"/>
  </r>
  <r>
    <x v="131"/>
    <x v="15"/>
    <d v="1899-12-30T00:00:00"/>
    <x v="1"/>
    <x v="7"/>
    <x v="2"/>
    <x v="0"/>
    <n v="1250000"/>
    <n v="3750000"/>
    <n v="3750000"/>
    <s v="TRUE"/>
    <x v="2"/>
    <x v="4"/>
  </r>
  <r>
    <x v="132"/>
    <x v="65"/>
    <d v="1899-12-30T00:00:00"/>
    <x v="0"/>
    <x v="6"/>
    <x v="2"/>
    <x v="3"/>
    <n v="350000"/>
    <n v="1750000"/>
    <n v="1750000"/>
    <s v="TRUE"/>
    <x v="2"/>
    <x v="4"/>
  </r>
  <r>
    <x v="133"/>
    <x v="43"/>
    <d v="1899-12-30T00:00:00"/>
    <x v="0"/>
    <x v="7"/>
    <x v="2"/>
    <x v="1"/>
    <n v="1250000"/>
    <n v="2500000"/>
    <n v="2500000"/>
    <s v="TRUE"/>
    <x v="3"/>
    <x v="3"/>
  </r>
  <r>
    <x v="134"/>
    <x v="43"/>
    <d v="1899-12-30T00:00:00"/>
    <x v="7"/>
    <x v="6"/>
    <x v="2"/>
    <x v="0"/>
    <n v="350000"/>
    <n v="1050000"/>
    <n v="1050000"/>
    <s v="TRUE"/>
    <x v="2"/>
    <x v="3"/>
  </r>
  <r>
    <x v="135"/>
    <x v="66"/>
    <d v="1899-12-30T00:00:00"/>
    <x v="0"/>
    <x v="6"/>
    <x v="2"/>
    <x v="0"/>
    <n v="350000"/>
    <n v="1050000"/>
    <n v="1050000"/>
    <s v="TRUE"/>
    <x v="0"/>
    <x v="1"/>
  </r>
  <r>
    <x v="136"/>
    <x v="66"/>
    <d v="1899-12-30T00:00:00"/>
    <x v="5"/>
    <x v="7"/>
    <x v="2"/>
    <x v="1"/>
    <n v="1250000"/>
    <n v="2500000"/>
    <n v="2500000"/>
    <s v="TRUE"/>
    <x v="1"/>
    <x v="1"/>
  </r>
  <r>
    <x v="137"/>
    <x v="19"/>
    <d v="1899-12-30T00:00:00"/>
    <x v="4"/>
    <x v="7"/>
    <x v="2"/>
    <x v="0"/>
    <n v="1250000"/>
    <n v="3750000"/>
    <n v="3750000"/>
    <s v="TRUE"/>
    <x v="3"/>
    <x v="0"/>
  </r>
  <r>
    <x v="138"/>
    <x v="20"/>
    <d v="1899-12-30T00:00:00"/>
    <x v="9"/>
    <x v="6"/>
    <x v="2"/>
    <x v="4"/>
    <n v="350000"/>
    <n v="1400000"/>
    <n v="1400000"/>
    <s v="TRUE"/>
    <x v="2"/>
    <x v="0"/>
  </r>
  <r>
    <x v="139"/>
    <x v="47"/>
    <d v="1899-12-30T00:00:00"/>
    <x v="1"/>
    <x v="7"/>
    <x v="2"/>
    <x v="0"/>
    <n v="1250000"/>
    <n v="3750000"/>
    <n v="3750000"/>
    <s v="TRUE"/>
    <x v="0"/>
    <x v="3"/>
  </r>
  <r>
    <x v="140"/>
    <x v="21"/>
    <d v="1899-12-30T00:00:00"/>
    <x v="6"/>
    <x v="6"/>
    <x v="2"/>
    <x v="1"/>
    <n v="350000"/>
    <n v="700000"/>
    <n v="700000"/>
    <s v="TRUE"/>
    <x v="1"/>
    <x v="3"/>
  </r>
  <r>
    <x v="141"/>
    <x v="21"/>
    <d v="1899-12-30T00:00:00"/>
    <x v="5"/>
    <x v="6"/>
    <x v="2"/>
    <x v="3"/>
    <n v="350000"/>
    <n v="1750000"/>
    <n v="1750000"/>
    <s v="TRUE"/>
    <x v="3"/>
    <x v="0"/>
  </r>
  <r>
    <x v="142"/>
    <x v="67"/>
    <d v="1899-12-30T00:00:00"/>
    <x v="3"/>
    <x v="6"/>
    <x v="2"/>
    <x v="4"/>
    <n v="350000"/>
    <n v="1400000"/>
    <n v="1400000"/>
    <s v="TRUE"/>
    <x v="3"/>
    <x v="1"/>
  </r>
  <r>
    <x v="143"/>
    <x v="68"/>
    <d v="1899-12-30T00:00:00"/>
    <x v="3"/>
    <x v="6"/>
    <x v="2"/>
    <x v="0"/>
    <n v="350000"/>
    <n v="1050000"/>
    <n v="1050000"/>
    <s v="TRUE"/>
    <x v="3"/>
    <x v="4"/>
  </r>
  <r>
    <x v="144"/>
    <x v="69"/>
    <d v="1899-12-30T00:00:00"/>
    <x v="8"/>
    <x v="6"/>
    <x v="2"/>
    <x v="4"/>
    <n v="350000"/>
    <n v="1400000"/>
    <n v="1400000"/>
    <s v="TRUE"/>
    <x v="0"/>
    <x v="1"/>
  </r>
  <r>
    <x v="145"/>
    <x v="48"/>
    <d v="1899-12-30T00:00:00"/>
    <x v="4"/>
    <x v="6"/>
    <x v="2"/>
    <x v="3"/>
    <n v="350000"/>
    <n v="1750000"/>
    <n v="1750000"/>
    <s v="TRUE"/>
    <x v="0"/>
    <x v="0"/>
  </r>
  <r>
    <x v="146"/>
    <x v="49"/>
    <d v="1899-12-30T00:00:00"/>
    <x v="7"/>
    <x v="7"/>
    <x v="2"/>
    <x v="0"/>
    <n v="1250000"/>
    <n v="3750000"/>
    <n v="3750000"/>
    <s v="TRUE"/>
    <x v="0"/>
    <x v="2"/>
  </r>
  <r>
    <x v="147"/>
    <x v="26"/>
    <d v="1899-12-30T00:00:00"/>
    <x v="2"/>
    <x v="6"/>
    <x v="2"/>
    <x v="4"/>
    <n v="350000"/>
    <n v="1400000"/>
    <n v="1400000"/>
    <s v="TRUE"/>
    <x v="3"/>
    <x v="2"/>
  </r>
  <r>
    <x v="148"/>
    <x v="52"/>
    <d v="1899-12-30T00:00:00"/>
    <x v="2"/>
    <x v="7"/>
    <x v="2"/>
    <x v="3"/>
    <n v="1250000"/>
    <n v="6250000"/>
    <n v="6250000"/>
    <s v="TRUE"/>
    <x v="0"/>
    <x v="4"/>
  </r>
  <r>
    <x v="149"/>
    <x v="53"/>
    <d v="1899-12-30T00:00:00"/>
    <x v="5"/>
    <x v="6"/>
    <x v="2"/>
    <x v="2"/>
    <n v="350000"/>
    <n v="350000"/>
    <n v="350000"/>
    <s v="TRUE"/>
    <x v="0"/>
    <x v="1"/>
  </r>
  <r>
    <x v="150"/>
    <x v="70"/>
    <d v="1899-12-30T00:00:00"/>
    <x v="0"/>
    <x v="7"/>
    <x v="2"/>
    <x v="0"/>
    <n v="1250000"/>
    <n v="3750000"/>
    <n v="3750000"/>
    <s v="TRUE"/>
    <x v="1"/>
    <x v="4"/>
  </r>
  <r>
    <x v="151"/>
    <x v="55"/>
    <d v="1899-12-30T00:00:00"/>
    <x v="1"/>
    <x v="6"/>
    <x v="2"/>
    <x v="4"/>
    <n v="350000"/>
    <n v="1400000"/>
    <n v="1400000"/>
    <s v="TRUE"/>
    <x v="1"/>
    <x v="0"/>
  </r>
  <r>
    <x v="152"/>
    <x v="71"/>
    <d v="1899-12-30T00:00:00"/>
    <x v="3"/>
    <x v="7"/>
    <x v="2"/>
    <x v="1"/>
    <n v="1250000"/>
    <n v="2500000"/>
    <n v="2500000"/>
    <s v="TRUE"/>
    <x v="3"/>
    <x v="0"/>
  </r>
  <r>
    <x v="153"/>
    <x v="57"/>
    <d v="1899-12-30T00:00:00"/>
    <x v="6"/>
    <x v="6"/>
    <x v="2"/>
    <x v="0"/>
    <n v="350000"/>
    <n v="1050000"/>
    <n v="1050000"/>
    <s v="TRUE"/>
    <x v="0"/>
    <x v="2"/>
  </r>
  <r>
    <x v="154"/>
    <x v="58"/>
    <d v="1899-12-30T00:00:00"/>
    <x v="4"/>
    <x v="7"/>
    <x v="2"/>
    <x v="0"/>
    <n v="1250000"/>
    <n v="3750000"/>
    <n v="3750000"/>
    <s v="TRUE"/>
    <x v="3"/>
    <x v="1"/>
  </r>
  <r>
    <x v="155"/>
    <x v="58"/>
    <d v="1899-12-30T00:00:00"/>
    <x v="6"/>
    <x v="6"/>
    <x v="2"/>
    <x v="1"/>
    <n v="350000"/>
    <n v="700000"/>
    <n v="700000"/>
    <s v="TRUE"/>
    <x v="0"/>
    <x v="0"/>
  </r>
  <r>
    <x v="156"/>
    <x v="59"/>
    <d v="1899-12-30T00:00:00"/>
    <x v="8"/>
    <x v="7"/>
    <x v="2"/>
    <x v="3"/>
    <n v="1250000"/>
    <n v="6250000"/>
    <n v="6250000"/>
    <s v="TRUE"/>
    <x v="3"/>
    <x v="4"/>
  </r>
  <r>
    <x v="157"/>
    <x v="30"/>
    <d v="1899-12-30T00:00:00"/>
    <x v="0"/>
    <x v="6"/>
    <x v="2"/>
    <x v="3"/>
    <n v="350000"/>
    <n v="1750000"/>
    <n v="1750000"/>
    <s v="TRUE"/>
    <x v="2"/>
    <x v="0"/>
  </r>
  <r>
    <x v="158"/>
    <x v="30"/>
    <d v="1899-12-30T00:00:00"/>
    <x v="0"/>
    <x v="7"/>
    <x v="2"/>
    <x v="4"/>
    <n v="1250000"/>
    <n v="5000000"/>
    <n v="5000000"/>
    <s v="TRUE"/>
    <x v="2"/>
    <x v="0"/>
  </r>
  <r>
    <x v="159"/>
    <x v="72"/>
    <d v="1899-12-30T00:00:00"/>
    <x v="8"/>
    <x v="7"/>
    <x v="2"/>
    <x v="2"/>
    <n v="1250000"/>
    <n v="1250000"/>
    <n v="1250000"/>
    <s v="TRUE"/>
    <x v="0"/>
    <x v="0"/>
  </r>
  <r>
    <x v="160"/>
    <x v="31"/>
    <d v="1899-12-30T00:00:00"/>
    <x v="4"/>
    <x v="8"/>
    <x v="3"/>
    <x v="3"/>
    <n v="25000"/>
    <n v="125000"/>
    <n v="125000"/>
    <s v="TRUE"/>
    <x v="1"/>
    <x v="2"/>
  </r>
  <r>
    <x v="161"/>
    <x v="32"/>
    <d v="1899-12-30T00:00:00"/>
    <x v="6"/>
    <x v="9"/>
    <x v="3"/>
    <x v="3"/>
    <n v="5000"/>
    <n v="25000"/>
    <n v="25000"/>
    <s v="TRUE"/>
    <x v="2"/>
    <x v="4"/>
  </r>
  <r>
    <x v="162"/>
    <x v="62"/>
    <d v="1899-12-30T00:00:00"/>
    <x v="4"/>
    <x v="8"/>
    <x v="3"/>
    <x v="4"/>
    <n v="25000"/>
    <n v="100000"/>
    <n v="100000"/>
    <s v="TRUE"/>
    <x v="0"/>
    <x v="3"/>
  </r>
  <r>
    <x v="163"/>
    <x v="34"/>
    <d v="1899-12-30T00:00:00"/>
    <x v="5"/>
    <x v="9"/>
    <x v="3"/>
    <x v="0"/>
    <n v="5000"/>
    <n v="15000"/>
    <n v="15000"/>
    <s v="TRUE"/>
    <x v="2"/>
    <x v="4"/>
  </r>
  <r>
    <x v="164"/>
    <x v="6"/>
    <d v="1899-12-30T00:00:00"/>
    <x v="2"/>
    <x v="9"/>
    <x v="3"/>
    <x v="0"/>
    <n v="5000"/>
    <n v="15000"/>
    <n v="15000"/>
    <s v="TRUE"/>
    <x v="0"/>
    <x v="1"/>
  </r>
  <r>
    <x v="165"/>
    <x v="36"/>
    <d v="1899-12-30T00:00:00"/>
    <x v="4"/>
    <x v="8"/>
    <x v="3"/>
    <x v="2"/>
    <n v="25000"/>
    <n v="25000"/>
    <n v="25000"/>
    <s v="TRUE"/>
    <x v="3"/>
    <x v="2"/>
  </r>
  <r>
    <x v="166"/>
    <x v="9"/>
    <d v="1899-12-30T00:00:00"/>
    <x v="5"/>
    <x v="8"/>
    <x v="3"/>
    <x v="3"/>
    <n v="25000"/>
    <n v="125000"/>
    <n v="125000"/>
    <s v="TRUE"/>
    <x v="2"/>
    <x v="3"/>
  </r>
  <r>
    <x v="167"/>
    <x v="38"/>
    <d v="1899-12-30T00:00:00"/>
    <x v="0"/>
    <x v="8"/>
    <x v="3"/>
    <x v="1"/>
    <n v="25000"/>
    <n v="50000"/>
    <n v="50000"/>
    <s v="TRUE"/>
    <x v="0"/>
    <x v="2"/>
  </r>
  <r>
    <x v="168"/>
    <x v="73"/>
    <d v="1899-12-30T00:00:00"/>
    <x v="8"/>
    <x v="9"/>
    <x v="3"/>
    <x v="1"/>
    <n v="5000"/>
    <n v="10000"/>
    <n v="10000"/>
    <s v="TRUE"/>
    <x v="1"/>
    <x v="1"/>
  </r>
  <r>
    <x v="169"/>
    <x v="41"/>
    <d v="1899-12-30T00:00:00"/>
    <x v="2"/>
    <x v="9"/>
    <x v="3"/>
    <x v="2"/>
    <n v="5000"/>
    <n v="5000"/>
    <n v="5000"/>
    <s v="TRUE"/>
    <x v="0"/>
    <x v="2"/>
  </r>
  <r>
    <x v="170"/>
    <x v="41"/>
    <d v="1899-12-30T00:00:00"/>
    <x v="7"/>
    <x v="8"/>
    <x v="3"/>
    <x v="4"/>
    <n v="25000"/>
    <n v="100000"/>
    <n v="100000"/>
    <s v="TRUE"/>
    <x v="0"/>
    <x v="3"/>
  </r>
  <r>
    <x v="171"/>
    <x v="10"/>
    <d v="1899-12-30T00:00:00"/>
    <x v="2"/>
    <x v="8"/>
    <x v="3"/>
    <x v="1"/>
    <n v="25000"/>
    <n v="50000"/>
    <n v="50000"/>
    <s v="TRUE"/>
    <x v="3"/>
    <x v="4"/>
  </r>
  <r>
    <x v="172"/>
    <x v="10"/>
    <d v="1899-12-30T00:00:00"/>
    <x v="3"/>
    <x v="8"/>
    <x v="3"/>
    <x v="0"/>
    <n v="25000"/>
    <n v="75000"/>
    <n v="75000"/>
    <s v="TRUE"/>
    <x v="0"/>
    <x v="1"/>
  </r>
  <r>
    <x v="173"/>
    <x v="11"/>
    <d v="1899-12-30T00:00:00"/>
    <x v="1"/>
    <x v="9"/>
    <x v="3"/>
    <x v="0"/>
    <n v="5000"/>
    <n v="15000"/>
    <n v="15000"/>
    <s v="TRUE"/>
    <x v="1"/>
    <x v="0"/>
  </r>
  <r>
    <x v="174"/>
    <x v="14"/>
    <d v="1899-12-30T00:00:00"/>
    <x v="4"/>
    <x v="8"/>
    <x v="3"/>
    <x v="4"/>
    <n v="25000"/>
    <n v="100000"/>
    <n v="100000"/>
    <s v="TRUE"/>
    <x v="3"/>
    <x v="2"/>
  </r>
  <r>
    <x v="175"/>
    <x v="15"/>
    <d v="1899-12-30T00:00:00"/>
    <x v="6"/>
    <x v="9"/>
    <x v="3"/>
    <x v="0"/>
    <n v="5000"/>
    <n v="15000"/>
    <n v="15000"/>
    <s v="TRUE"/>
    <x v="3"/>
    <x v="1"/>
  </r>
  <r>
    <x v="176"/>
    <x v="16"/>
    <d v="1899-12-30T00:00:00"/>
    <x v="8"/>
    <x v="8"/>
    <x v="3"/>
    <x v="2"/>
    <n v="25000"/>
    <n v="25000"/>
    <n v="25000"/>
    <s v="TRUE"/>
    <x v="2"/>
    <x v="0"/>
  </r>
  <r>
    <x v="177"/>
    <x v="19"/>
    <d v="1899-12-30T00:00:00"/>
    <x v="8"/>
    <x v="8"/>
    <x v="3"/>
    <x v="0"/>
    <n v="25000"/>
    <n v="75000"/>
    <n v="75000"/>
    <s v="TRUE"/>
    <x v="2"/>
    <x v="0"/>
  </r>
  <r>
    <x v="178"/>
    <x v="20"/>
    <d v="1899-12-30T00:00:00"/>
    <x v="3"/>
    <x v="8"/>
    <x v="3"/>
    <x v="4"/>
    <n v="25000"/>
    <n v="100000"/>
    <n v="100000"/>
    <s v="TRUE"/>
    <x v="3"/>
    <x v="2"/>
  </r>
  <r>
    <x v="179"/>
    <x v="46"/>
    <d v="1899-12-30T00:00:00"/>
    <x v="2"/>
    <x v="8"/>
    <x v="3"/>
    <x v="2"/>
    <n v="25000"/>
    <n v="25000"/>
    <n v="25000"/>
    <s v="TRUE"/>
    <x v="2"/>
    <x v="1"/>
  </r>
  <r>
    <x v="180"/>
    <x v="46"/>
    <d v="1899-12-30T00:00:00"/>
    <x v="9"/>
    <x v="9"/>
    <x v="3"/>
    <x v="4"/>
    <n v="5000"/>
    <n v="20000"/>
    <n v="20000"/>
    <s v="TRUE"/>
    <x v="1"/>
    <x v="4"/>
  </r>
  <r>
    <x v="181"/>
    <x v="68"/>
    <d v="1899-12-30T00:00:00"/>
    <x v="6"/>
    <x v="9"/>
    <x v="3"/>
    <x v="0"/>
    <n v="5000"/>
    <n v="15000"/>
    <n v="15000"/>
    <s v="TRUE"/>
    <x v="0"/>
    <x v="3"/>
  </r>
  <r>
    <x v="182"/>
    <x v="68"/>
    <d v="1899-12-30T00:00:00"/>
    <x v="1"/>
    <x v="9"/>
    <x v="3"/>
    <x v="4"/>
    <n v="5000"/>
    <n v="20000"/>
    <n v="20000"/>
    <s v="TRUE"/>
    <x v="1"/>
    <x v="1"/>
  </r>
  <r>
    <x v="183"/>
    <x v="22"/>
    <d v="1899-12-30T00:00:00"/>
    <x v="8"/>
    <x v="9"/>
    <x v="3"/>
    <x v="3"/>
    <n v="5000"/>
    <n v="25000"/>
    <n v="25000"/>
    <s v="TRUE"/>
    <x v="1"/>
    <x v="2"/>
  </r>
  <r>
    <x v="184"/>
    <x v="48"/>
    <d v="1899-12-30T00:00:00"/>
    <x v="9"/>
    <x v="8"/>
    <x v="3"/>
    <x v="4"/>
    <n v="25000"/>
    <n v="100000"/>
    <n v="100000"/>
    <s v="TRUE"/>
    <x v="1"/>
    <x v="1"/>
  </r>
  <r>
    <x v="185"/>
    <x v="48"/>
    <d v="1899-12-30T00:00:00"/>
    <x v="6"/>
    <x v="8"/>
    <x v="3"/>
    <x v="1"/>
    <n v="25000"/>
    <n v="50000"/>
    <n v="50000"/>
    <s v="TRUE"/>
    <x v="1"/>
    <x v="4"/>
  </r>
  <r>
    <x v="186"/>
    <x v="23"/>
    <d v="1899-12-30T00:00:00"/>
    <x v="5"/>
    <x v="8"/>
    <x v="3"/>
    <x v="0"/>
    <n v="25000"/>
    <n v="75000"/>
    <n v="75000"/>
    <s v="TRUE"/>
    <x v="1"/>
    <x v="4"/>
  </r>
  <r>
    <x v="187"/>
    <x v="74"/>
    <d v="1899-12-30T00:00:00"/>
    <x v="9"/>
    <x v="9"/>
    <x v="3"/>
    <x v="0"/>
    <n v="5000"/>
    <n v="15000"/>
    <n v="15000"/>
    <s v="TRUE"/>
    <x v="1"/>
    <x v="3"/>
  </r>
  <r>
    <x v="188"/>
    <x v="75"/>
    <d v="1899-12-30T00:00:00"/>
    <x v="5"/>
    <x v="8"/>
    <x v="3"/>
    <x v="1"/>
    <n v="25000"/>
    <n v="50000"/>
    <n v="50000"/>
    <s v="TRUE"/>
    <x v="2"/>
    <x v="1"/>
  </r>
  <r>
    <x v="189"/>
    <x v="24"/>
    <d v="1899-12-30T00:00:00"/>
    <x v="3"/>
    <x v="8"/>
    <x v="3"/>
    <x v="4"/>
    <n v="25000"/>
    <n v="100000"/>
    <n v="100000"/>
    <s v="TRUE"/>
    <x v="1"/>
    <x v="2"/>
  </r>
  <r>
    <x v="190"/>
    <x v="24"/>
    <d v="1899-12-30T00:00:00"/>
    <x v="6"/>
    <x v="9"/>
    <x v="3"/>
    <x v="2"/>
    <n v="5000"/>
    <n v="5000"/>
    <n v="5000"/>
    <s v="TRUE"/>
    <x v="1"/>
    <x v="4"/>
  </r>
  <r>
    <x v="191"/>
    <x v="24"/>
    <d v="1899-12-30T00:00:00"/>
    <x v="8"/>
    <x v="8"/>
    <x v="3"/>
    <x v="1"/>
    <n v="25000"/>
    <n v="50000"/>
    <n v="50000"/>
    <s v="TRUE"/>
    <x v="1"/>
    <x v="2"/>
  </r>
  <r>
    <x v="192"/>
    <x v="50"/>
    <d v="1899-12-30T00:00:00"/>
    <x v="9"/>
    <x v="8"/>
    <x v="3"/>
    <x v="3"/>
    <n v="25000"/>
    <n v="125000"/>
    <n v="125000"/>
    <s v="TRUE"/>
    <x v="1"/>
    <x v="3"/>
  </r>
  <r>
    <x v="193"/>
    <x v="52"/>
    <d v="1899-12-30T00:00:00"/>
    <x v="7"/>
    <x v="9"/>
    <x v="3"/>
    <x v="0"/>
    <n v="5000"/>
    <n v="15000"/>
    <n v="15000"/>
    <s v="TRUE"/>
    <x v="2"/>
    <x v="2"/>
  </r>
  <r>
    <x v="194"/>
    <x v="53"/>
    <d v="1899-12-30T00:00:00"/>
    <x v="2"/>
    <x v="8"/>
    <x v="3"/>
    <x v="2"/>
    <n v="25000"/>
    <n v="25000"/>
    <n v="25000"/>
    <s v="TRUE"/>
    <x v="0"/>
    <x v="0"/>
  </r>
  <r>
    <x v="195"/>
    <x v="55"/>
    <d v="1899-12-30T00:00:00"/>
    <x v="7"/>
    <x v="9"/>
    <x v="3"/>
    <x v="2"/>
    <n v="5000"/>
    <n v="5000"/>
    <n v="5000"/>
    <s v="TRUE"/>
    <x v="0"/>
    <x v="0"/>
  </r>
  <r>
    <x v="196"/>
    <x v="61"/>
    <d v="1899-12-30T00:00:00"/>
    <x v="3"/>
    <x v="8"/>
    <x v="3"/>
    <x v="4"/>
    <n v="25000"/>
    <n v="100000"/>
    <n v="100000"/>
    <s v="TRUE"/>
    <x v="0"/>
    <x v="4"/>
  </r>
  <r>
    <x v="197"/>
    <x v="61"/>
    <d v="1899-12-30T00:00:00"/>
    <x v="3"/>
    <x v="9"/>
    <x v="3"/>
    <x v="3"/>
    <n v="5000"/>
    <n v="25000"/>
    <n v="25000"/>
    <s v="TRUE"/>
    <x v="0"/>
    <x v="2"/>
  </r>
  <r>
    <x v="198"/>
    <x v="30"/>
    <d v="1899-12-30T00:00:00"/>
    <x v="6"/>
    <x v="8"/>
    <x v="3"/>
    <x v="3"/>
    <n v="25000"/>
    <n v="125000"/>
    <n v="125000"/>
    <s v="TRUE"/>
    <x v="2"/>
    <x v="4"/>
  </r>
  <r>
    <x v="199"/>
    <x v="72"/>
    <d v="1899-12-30T00:00:00"/>
    <x v="0"/>
    <x v="8"/>
    <x v="3"/>
    <x v="2"/>
    <n v="25000"/>
    <n v="25000"/>
    <n v="25000"/>
    <s v="TRUE"/>
    <x v="2"/>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98B260-8766-4CFB-99BF-B3BD182C0615}" name="PivotTable12"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A24:B29" firstHeaderRow="1" firstDataRow="1" firstDataCol="1"/>
  <pivotFields count="15">
    <pivotField showAll="0"/>
    <pivotField numFmtId="14" showAll="0">
      <items count="77">
        <item x="31"/>
        <item x="0"/>
        <item x="1"/>
        <item x="2"/>
        <item x="32"/>
        <item x="62"/>
        <item x="3"/>
        <item x="33"/>
        <item x="4"/>
        <item x="5"/>
        <item x="34"/>
        <item x="6"/>
        <item x="7"/>
        <item x="35"/>
        <item x="36"/>
        <item x="63"/>
        <item x="8"/>
        <item x="9"/>
        <item x="37"/>
        <item x="64"/>
        <item x="38"/>
        <item x="39"/>
        <item x="73"/>
        <item x="40"/>
        <item x="41"/>
        <item x="10"/>
        <item x="11"/>
        <item x="42"/>
        <item x="12"/>
        <item x="13"/>
        <item x="14"/>
        <item x="15"/>
        <item x="65"/>
        <item x="43"/>
        <item x="66"/>
        <item x="16"/>
        <item x="17"/>
        <item x="18"/>
        <item x="19"/>
        <item x="44"/>
        <item x="45"/>
        <item x="20"/>
        <item x="46"/>
        <item x="47"/>
        <item x="21"/>
        <item x="67"/>
        <item x="68"/>
        <item x="22"/>
        <item x="69"/>
        <item x="48"/>
        <item x="23"/>
        <item x="74"/>
        <item x="49"/>
        <item x="75"/>
        <item x="24"/>
        <item x="25"/>
        <item x="50"/>
        <item x="26"/>
        <item x="51"/>
        <item x="27"/>
        <item x="52"/>
        <item x="53"/>
        <item x="70"/>
        <item x="54"/>
        <item x="55"/>
        <item x="56"/>
        <item x="71"/>
        <item x="57"/>
        <item x="58"/>
        <item x="59"/>
        <item x="28"/>
        <item x="29"/>
        <item x="60"/>
        <item x="61"/>
        <item x="30"/>
        <item x="72"/>
        <item t="default"/>
      </items>
    </pivotField>
    <pivotField numFmtId="164" showAll="0"/>
    <pivotField showAll="0"/>
    <pivotField showAll="0">
      <items count="11">
        <item x="1"/>
        <item x="7"/>
        <item x="6"/>
        <item x="4"/>
        <item x="5"/>
        <item x="3"/>
        <item x="2"/>
        <item x="8"/>
        <item x="9"/>
        <item x="0"/>
        <item t="default"/>
      </items>
    </pivotField>
    <pivotField showAll="0">
      <items count="5">
        <item x="0"/>
        <item x="1"/>
        <item x="2"/>
        <item x="3"/>
        <item t="default"/>
      </items>
    </pivotField>
    <pivotField showAll="0"/>
    <pivotField numFmtId="42" showAll="0"/>
    <pivotField numFmtId="42" showAll="0"/>
    <pivotField numFmtId="42" showAll="0"/>
    <pivotField showAll="0"/>
    <pivotField axis="axisRow" dataField="1" showAll="0">
      <items count="5">
        <item x="0"/>
        <item x="3"/>
        <item x="2"/>
        <item x="1"/>
        <item t="default"/>
      </items>
    </pivotField>
    <pivotField showAll="0">
      <items count="6">
        <item x="1"/>
        <item x="4"/>
        <item x="3"/>
        <item x="2"/>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1"/>
  </rowFields>
  <rowItems count="5">
    <i>
      <x/>
    </i>
    <i>
      <x v="1"/>
    </i>
    <i>
      <x v="2"/>
    </i>
    <i>
      <x v="3"/>
    </i>
    <i t="grand">
      <x/>
    </i>
  </rowItems>
  <colItems count="1">
    <i/>
  </colItems>
  <dataFields count="1">
    <dataField name="Count of Payment Method" fld="11" subtotal="count" baseField="0" baseItem="0"/>
  </dataFields>
  <formats count="1">
    <format dxfId="13">
      <pivotArea dataOnly="0" fieldPosition="0">
        <references count="1">
          <reference field="11" count="1">
            <x v="0"/>
          </reference>
        </references>
      </pivotArea>
    </format>
  </formats>
  <chartFormats count="1">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316889-6469-4CB4-9DB5-8CF3C0F7336F}" name="PivotTable17"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3:C4" firstHeaderRow="1" firstDataRow="1" firstDataCol="0"/>
  <pivotFields count="15">
    <pivotField showAll="0"/>
    <pivotField numFmtId="14" showAll="0">
      <items count="77">
        <item x="31"/>
        <item x="0"/>
        <item x="1"/>
        <item x="2"/>
        <item x="32"/>
        <item x="62"/>
        <item x="3"/>
        <item x="33"/>
        <item x="4"/>
        <item x="5"/>
        <item x="34"/>
        <item x="6"/>
        <item x="7"/>
        <item x="35"/>
        <item x="36"/>
        <item x="63"/>
        <item x="8"/>
        <item x="9"/>
        <item x="37"/>
        <item x="64"/>
        <item x="38"/>
        <item x="39"/>
        <item x="73"/>
        <item x="40"/>
        <item x="41"/>
        <item x="10"/>
        <item x="11"/>
        <item x="42"/>
        <item x="12"/>
        <item x="13"/>
        <item x="14"/>
        <item x="15"/>
        <item x="65"/>
        <item x="43"/>
        <item x="66"/>
        <item x="16"/>
        <item x="17"/>
        <item x="18"/>
        <item x="19"/>
        <item x="44"/>
        <item x="45"/>
        <item x="20"/>
        <item x="46"/>
        <item x="47"/>
        <item x="21"/>
        <item x="67"/>
        <item x="68"/>
        <item x="22"/>
        <item x="69"/>
        <item x="48"/>
        <item x="23"/>
        <item x="74"/>
        <item x="49"/>
        <item x="75"/>
        <item x="24"/>
        <item x="25"/>
        <item x="50"/>
        <item x="26"/>
        <item x="51"/>
        <item x="27"/>
        <item x="52"/>
        <item x="53"/>
        <item x="70"/>
        <item x="54"/>
        <item x="55"/>
        <item x="56"/>
        <item x="71"/>
        <item x="57"/>
        <item x="58"/>
        <item x="59"/>
        <item x="28"/>
        <item x="29"/>
        <item x="60"/>
        <item x="61"/>
        <item x="30"/>
        <item x="72"/>
        <item t="default"/>
      </items>
    </pivotField>
    <pivotField numFmtId="164" showAll="0"/>
    <pivotField showAll="0"/>
    <pivotField showAll="0">
      <items count="11">
        <item x="1"/>
        <item x="7"/>
        <item x="6"/>
        <item x="4"/>
        <item x="5"/>
        <item x="3"/>
        <item x="2"/>
        <item x="8"/>
        <item x="9"/>
        <item x="0"/>
        <item t="default"/>
      </items>
    </pivotField>
    <pivotField showAll="0">
      <items count="5">
        <item x="0"/>
        <item x="1"/>
        <item x="2"/>
        <item x="3"/>
        <item t="default"/>
      </items>
    </pivotField>
    <pivotField dataField="1" showAll="0"/>
    <pivotField numFmtId="42" showAll="0"/>
    <pivotField numFmtId="42" showAll="0"/>
    <pivotField numFmtId="42" showAll="0"/>
    <pivotField showAll="0"/>
    <pivotField showAll="0">
      <items count="5">
        <item x="0"/>
        <item x="3"/>
        <item x="2"/>
        <item x="1"/>
        <item t="default"/>
      </items>
    </pivotField>
    <pivotField showAll="0">
      <items count="6">
        <item x="1"/>
        <item x="4"/>
        <item x="3"/>
        <item x="2"/>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Banyak unit terjual" fld="6" baseField="0" baseItem="0"/>
  </dataFields>
  <formats count="3">
    <format dxfId="16">
      <pivotArea type="all" dataOnly="0" outline="0" fieldPosition="0"/>
    </format>
    <format dxfId="15">
      <pivotArea outline="0" collapsedLevelsAreSubtotals="1" fieldPosition="0"/>
    </format>
    <format dxfId="1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856741B-B7C3-4E33-B60F-82831E1713BE}" name="PivotTable11"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9:G21" firstHeaderRow="1" firstDataRow="2" firstDataCol="1"/>
  <pivotFields count="15">
    <pivotField showAll="0"/>
    <pivotField numFmtId="14" showAll="0">
      <items count="77">
        <item x="31"/>
        <item x="0"/>
        <item x="1"/>
        <item x="2"/>
        <item x="32"/>
        <item x="62"/>
        <item x="3"/>
        <item x="33"/>
        <item x="4"/>
        <item x="5"/>
        <item x="34"/>
        <item x="6"/>
        <item x="7"/>
        <item x="35"/>
        <item x="36"/>
        <item x="63"/>
        <item x="8"/>
        <item x="9"/>
        <item x="37"/>
        <item x="64"/>
        <item x="38"/>
        <item x="39"/>
        <item x="73"/>
        <item x="40"/>
        <item x="41"/>
        <item x="10"/>
        <item x="11"/>
        <item x="42"/>
        <item x="12"/>
        <item x="13"/>
        <item x="14"/>
        <item x="15"/>
        <item x="65"/>
        <item x="43"/>
        <item x="66"/>
        <item x="16"/>
        <item x="17"/>
        <item x="18"/>
        <item x="19"/>
        <item x="44"/>
        <item x="45"/>
        <item x="20"/>
        <item x="46"/>
        <item x="47"/>
        <item x="21"/>
        <item x="67"/>
        <item x="68"/>
        <item x="22"/>
        <item x="69"/>
        <item x="48"/>
        <item x="23"/>
        <item x="74"/>
        <item x="49"/>
        <item x="75"/>
        <item x="24"/>
        <item x="25"/>
        <item x="50"/>
        <item x="26"/>
        <item x="51"/>
        <item x="27"/>
        <item x="52"/>
        <item x="53"/>
        <item x="70"/>
        <item x="54"/>
        <item x="55"/>
        <item x="56"/>
        <item x="71"/>
        <item x="57"/>
        <item x="58"/>
        <item x="59"/>
        <item x="28"/>
        <item x="29"/>
        <item x="60"/>
        <item x="61"/>
        <item x="30"/>
        <item x="72"/>
        <item t="default"/>
      </items>
    </pivotField>
    <pivotField numFmtId="164" showAll="0"/>
    <pivotField showAll="0"/>
    <pivotField axis="axisRow" showAll="0" sortType="descending">
      <items count="11">
        <item x="1"/>
        <item x="7"/>
        <item x="6"/>
        <item x="4"/>
        <item x="5"/>
        <item x="3"/>
        <item x="2"/>
        <item x="8"/>
        <item x="9"/>
        <item x="0"/>
        <item t="default"/>
      </items>
      <autoSortScope>
        <pivotArea dataOnly="0" outline="0" fieldPosition="0">
          <references count="1">
            <reference field="4294967294" count="1" selected="0">
              <x v="0"/>
            </reference>
          </references>
        </pivotArea>
      </autoSortScope>
    </pivotField>
    <pivotField showAll="0">
      <items count="5">
        <item x="0"/>
        <item x="1"/>
        <item x="2"/>
        <item x="3"/>
        <item t="default"/>
      </items>
    </pivotField>
    <pivotField dataField="1" showAll="0"/>
    <pivotField numFmtId="42" showAll="0"/>
    <pivotField numFmtId="42" showAll="0"/>
    <pivotField numFmtId="42" showAll="0"/>
    <pivotField showAll="0"/>
    <pivotField showAll="0">
      <items count="5">
        <item x="0"/>
        <item x="3"/>
        <item x="2"/>
        <item x="1"/>
        <item t="default"/>
      </items>
    </pivotField>
    <pivotField axis="axisCol" showAll="0">
      <items count="6">
        <item x="1"/>
        <item x="4"/>
        <item x="3"/>
        <item x="2"/>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11">
    <i>
      <x v="1"/>
    </i>
    <i>
      <x v="2"/>
    </i>
    <i>
      <x v="3"/>
    </i>
    <i>
      <x v="7"/>
    </i>
    <i>
      <x v="9"/>
    </i>
    <i>
      <x v="5"/>
    </i>
    <i>
      <x v="6"/>
    </i>
    <i>
      <x/>
    </i>
    <i>
      <x v="8"/>
    </i>
    <i>
      <x v="4"/>
    </i>
    <i t="grand">
      <x/>
    </i>
  </rowItems>
  <colFields count="1">
    <field x="12"/>
  </colFields>
  <colItems count="6">
    <i>
      <x/>
    </i>
    <i>
      <x v="1"/>
    </i>
    <i>
      <x v="2"/>
    </i>
    <i>
      <x v="3"/>
    </i>
    <i>
      <x v="4"/>
    </i>
    <i t="grand">
      <x/>
    </i>
  </colItems>
  <dataFields count="1">
    <dataField name="Sum of Quantity" fld="6" baseField="0" baseItem="0"/>
  </dataFields>
  <formats count="2">
    <format dxfId="18">
      <pivotArea field="4" grandCol="1" collapsedLevelsAreSubtotals="1" axis="axisRow" fieldPosition="0">
        <references count="1">
          <reference field="4" count="1">
            <x v="1"/>
          </reference>
        </references>
      </pivotArea>
    </format>
    <format dxfId="17">
      <pivotArea collapsedLevelsAreSubtotals="1" fieldPosition="0">
        <references count="2">
          <reference field="4" count="1">
            <x v="1"/>
          </reference>
          <reference field="12" count="1" selected="0">
            <x v="2"/>
          </reference>
        </references>
      </pivotArea>
    </format>
  </formats>
  <chartFormats count="6">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0" format="2" series="1">
      <pivotArea type="data" outline="0" fieldPosition="0">
        <references count="2">
          <reference field="4294967294" count="1" selected="0">
            <x v="0"/>
          </reference>
          <reference field="12" count="1" selected="0">
            <x v="2"/>
          </reference>
        </references>
      </pivotArea>
    </chartFormat>
    <chartFormat chart="0" format="3" series="1">
      <pivotArea type="data" outline="0" fieldPosition="0">
        <references count="2">
          <reference field="4294967294" count="1" selected="0">
            <x v="0"/>
          </reference>
          <reference field="12" count="1" selected="0">
            <x v="3"/>
          </reference>
        </references>
      </pivotArea>
    </chartFormat>
    <chartFormat chart="0" format="4" series="1">
      <pivotArea type="data" outline="0" fieldPosition="0">
        <references count="2">
          <reference field="4294967294" count="1" selected="0">
            <x v="0"/>
          </reference>
          <reference field="12" count="1" selected="0">
            <x v="4"/>
          </reference>
        </references>
      </pivotArea>
    </chartFormat>
    <chartFormat chart="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250B24C-F072-4CEE-B7ED-E7EAE2238A4A}" name="PivotTable10"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15">
    <pivotField showAll="0"/>
    <pivotField numFmtId="14" showAll="0">
      <items count="77">
        <item x="31"/>
        <item x="0"/>
        <item x="1"/>
        <item x="2"/>
        <item x="32"/>
        <item x="62"/>
        <item x="3"/>
        <item x="33"/>
        <item x="4"/>
        <item x="5"/>
        <item x="34"/>
        <item x="6"/>
        <item x="7"/>
        <item x="35"/>
        <item x="36"/>
        <item x="63"/>
        <item x="8"/>
        <item x="9"/>
        <item x="37"/>
        <item x="64"/>
        <item x="38"/>
        <item x="39"/>
        <item x="73"/>
        <item x="40"/>
        <item x="41"/>
        <item x="10"/>
        <item x="11"/>
        <item x="42"/>
        <item x="12"/>
        <item x="13"/>
        <item x="14"/>
        <item x="15"/>
        <item x="65"/>
        <item x="43"/>
        <item x="66"/>
        <item x="16"/>
        <item x="17"/>
        <item x="18"/>
        <item x="19"/>
        <item x="44"/>
        <item x="45"/>
        <item x="20"/>
        <item x="46"/>
        <item x="47"/>
        <item x="21"/>
        <item x="67"/>
        <item x="68"/>
        <item x="22"/>
        <item x="69"/>
        <item x="48"/>
        <item x="23"/>
        <item x="74"/>
        <item x="49"/>
        <item x="75"/>
        <item x="24"/>
        <item x="25"/>
        <item x="50"/>
        <item x="26"/>
        <item x="51"/>
        <item x="27"/>
        <item x="52"/>
        <item x="53"/>
        <item x="70"/>
        <item x="54"/>
        <item x="55"/>
        <item x="56"/>
        <item x="71"/>
        <item x="57"/>
        <item x="58"/>
        <item x="59"/>
        <item x="28"/>
        <item x="29"/>
        <item x="60"/>
        <item x="61"/>
        <item x="30"/>
        <item x="72"/>
        <item t="default"/>
      </items>
    </pivotField>
    <pivotField numFmtId="164" showAll="0"/>
    <pivotField showAll="0"/>
    <pivotField showAll="0">
      <items count="11">
        <item x="1"/>
        <item x="7"/>
        <item x="6"/>
        <item x="4"/>
        <item x="5"/>
        <item x="3"/>
        <item x="2"/>
        <item x="8"/>
        <item x="9"/>
        <item x="0"/>
        <item t="default"/>
      </items>
    </pivotField>
    <pivotField showAll="0">
      <items count="5">
        <item x="0"/>
        <item x="1"/>
        <item x="2"/>
        <item x="3"/>
        <item t="default"/>
      </items>
    </pivotField>
    <pivotField showAll="0"/>
    <pivotField numFmtId="42" showAll="0"/>
    <pivotField numFmtId="42" showAll="0"/>
    <pivotField dataField="1" numFmtId="42" showAll="0"/>
    <pivotField showAll="0"/>
    <pivotField showAll="0">
      <items count="5">
        <item x="0"/>
        <item x="3"/>
        <item x="2"/>
        <item x="1"/>
        <item t="default"/>
      </items>
    </pivotField>
    <pivotField showAll="0">
      <items count="6">
        <item x="1"/>
        <item x="4"/>
        <item x="3"/>
        <item x="2"/>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Total Price Fixed" fld="9" baseField="0" baseItem="0" numFmtId="42"/>
  </dataFields>
  <formats count="3">
    <format dxfId="21">
      <pivotArea type="all" dataOnly="0" outline="0" fieldPosition="0"/>
    </format>
    <format dxfId="20">
      <pivotArea outline="0" collapsedLevelsAreSubtotals="1" fieldPosition="0"/>
    </format>
    <format dxfId="1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7010506-AB7F-466B-9B4C-6DA0E1E1EE35}" name="PivotTable16"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R6:R7" firstHeaderRow="1" firstDataRow="1" firstDataCol="0"/>
  <pivotFields count="15">
    <pivotField showAll="0"/>
    <pivotField numFmtId="14" showAll="0">
      <items count="77">
        <item x="31"/>
        <item x="0"/>
        <item x="1"/>
        <item x="2"/>
        <item x="32"/>
        <item x="62"/>
        <item x="3"/>
        <item x="33"/>
        <item x="4"/>
        <item x="5"/>
        <item x="34"/>
        <item x="6"/>
        <item x="7"/>
        <item x="35"/>
        <item x="36"/>
        <item x="63"/>
        <item x="8"/>
        <item x="9"/>
        <item x="37"/>
        <item x="64"/>
        <item x="38"/>
        <item x="39"/>
        <item x="73"/>
        <item x="40"/>
        <item x="41"/>
        <item x="10"/>
        <item x="11"/>
        <item x="42"/>
        <item x="12"/>
        <item x="13"/>
        <item x="14"/>
        <item x="15"/>
        <item x="65"/>
        <item x="43"/>
        <item x="66"/>
        <item x="16"/>
        <item x="17"/>
        <item x="18"/>
        <item x="19"/>
        <item x="44"/>
        <item x="45"/>
        <item x="20"/>
        <item x="46"/>
        <item x="47"/>
        <item x="21"/>
        <item x="67"/>
        <item x="68"/>
        <item x="22"/>
        <item x="69"/>
        <item x="48"/>
        <item x="23"/>
        <item x="74"/>
        <item x="49"/>
        <item x="75"/>
        <item x="24"/>
        <item x="25"/>
        <item x="50"/>
        <item x="26"/>
        <item x="51"/>
        <item x="27"/>
        <item x="52"/>
        <item x="53"/>
        <item x="70"/>
        <item x="54"/>
        <item x="55"/>
        <item x="56"/>
        <item x="71"/>
        <item x="57"/>
        <item x="58"/>
        <item x="59"/>
        <item x="28"/>
        <item x="29"/>
        <item x="60"/>
        <item x="61"/>
        <item x="30"/>
        <item x="72"/>
        <item t="default"/>
      </items>
    </pivotField>
    <pivotField numFmtId="164" showAll="0"/>
    <pivotField showAll="0"/>
    <pivotField showAll="0">
      <items count="11">
        <item x="1"/>
        <item x="7"/>
        <item x="6"/>
        <item x="4"/>
        <item x="5"/>
        <item x="3"/>
        <item x="2"/>
        <item x="8"/>
        <item x="9"/>
        <item x="0"/>
        <item t="default"/>
      </items>
    </pivotField>
    <pivotField showAll="0">
      <items count="5">
        <item x="0"/>
        <item x="1"/>
        <item x="2"/>
        <item x="3"/>
        <item t="default"/>
      </items>
    </pivotField>
    <pivotField showAll="0"/>
    <pivotField numFmtId="42" showAll="0"/>
    <pivotField numFmtId="42" showAll="0"/>
    <pivotField dataField="1" numFmtId="42" showAll="0"/>
    <pivotField showAll="0"/>
    <pivotField showAll="0">
      <items count="5">
        <item x="0"/>
        <item x="3"/>
        <item x="2"/>
        <item x="1"/>
        <item t="default"/>
      </items>
    </pivotField>
    <pivotField showAll="0">
      <items count="6">
        <item x="1"/>
        <item x="4"/>
        <item x="3"/>
        <item x="2"/>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REVENUE" fld="9" baseField="0" baseItem="0" numFmtId="42"/>
  </dataFields>
  <formats count="11">
    <format dxfId="32">
      <pivotArea type="all" dataOnly="0" outline="0" fieldPosition="0"/>
    </format>
    <format dxfId="31">
      <pivotArea dataOnly="0" labelOnly="1" outline="0" axis="axisValues" fieldPosition="0"/>
    </format>
    <format dxfId="30">
      <pivotArea dataOnly="0" labelOnly="1" outline="0" axis="axisValues" fieldPosition="0"/>
    </format>
    <format dxfId="29">
      <pivotArea dataOnly="0" labelOnly="1" outline="0" axis="axisValues" fieldPosition="0"/>
    </format>
    <format dxfId="28">
      <pivotArea dataOnly="0" labelOnly="1" outline="0" axis="axisValues" fieldPosition="0"/>
    </format>
    <format dxfId="27">
      <pivotArea type="all" dataOnly="0" outline="0" fieldPosition="0"/>
    </format>
    <format dxfId="26">
      <pivotArea outline="0" collapsedLevelsAreSubtotals="1" fieldPosition="0"/>
    </format>
    <format dxfId="25">
      <pivotArea dataOnly="0" labelOnly="1" outline="0" axis="axisValues" fieldPosition="0"/>
    </format>
    <format dxfId="24">
      <pivotArea outline="0" collapsedLevelsAreSubtotals="1" fieldPosition="0"/>
    </format>
    <format dxfId="23">
      <pivotArea outline="0" collapsedLevelsAreSubtotals="1" fieldPosition="0"/>
    </format>
    <format dxfId="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7D20F43-BC38-404E-8948-A6E4C256E038}" name="PivotTable14"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46:B50" firstHeaderRow="1" firstDataRow="1" firstDataCol="1"/>
  <pivotFields count="15">
    <pivotField showAll="0"/>
    <pivotField axis="axisRow" numFmtId="14" showAll="0">
      <items count="77">
        <item x="31"/>
        <item x="0"/>
        <item x="1"/>
        <item x="2"/>
        <item x="32"/>
        <item x="62"/>
        <item x="3"/>
        <item x="33"/>
        <item x="4"/>
        <item x="5"/>
        <item x="34"/>
        <item x="6"/>
        <item x="7"/>
        <item x="35"/>
        <item x="36"/>
        <item x="63"/>
        <item x="8"/>
        <item x="9"/>
        <item x="37"/>
        <item x="64"/>
        <item x="38"/>
        <item x="39"/>
        <item x="73"/>
        <item x="40"/>
        <item x="41"/>
        <item x="10"/>
        <item x="11"/>
        <item x="42"/>
        <item x="12"/>
        <item x="13"/>
        <item x="14"/>
        <item x="15"/>
        <item x="65"/>
        <item x="43"/>
        <item x="66"/>
        <item x="16"/>
        <item x="17"/>
        <item x="18"/>
        <item x="19"/>
        <item x="44"/>
        <item x="45"/>
        <item x="20"/>
        <item x="46"/>
        <item x="47"/>
        <item x="21"/>
        <item x="67"/>
        <item x="68"/>
        <item x="22"/>
        <item x="69"/>
        <item x="48"/>
        <item x="23"/>
        <item x="74"/>
        <item x="49"/>
        <item x="75"/>
        <item x="24"/>
        <item x="25"/>
        <item x="50"/>
        <item x="26"/>
        <item x="51"/>
        <item x="27"/>
        <item x="52"/>
        <item x="53"/>
        <item x="70"/>
        <item x="54"/>
        <item x="55"/>
        <item x="56"/>
        <item x="71"/>
        <item x="57"/>
        <item x="58"/>
        <item x="59"/>
        <item x="28"/>
        <item x="29"/>
        <item x="60"/>
        <item x="61"/>
        <item x="30"/>
        <item x="72"/>
        <item t="default"/>
      </items>
    </pivotField>
    <pivotField numFmtId="164" showAll="0"/>
    <pivotField showAll="0"/>
    <pivotField showAll="0">
      <items count="11">
        <item x="1"/>
        <item x="7"/>
        <item x="6"/>
        <item x="4"/>
        <item x="5"/>
        <item x="3"/>
        <item x="2"/>
        <item x="8"/>
        <item x="9"/>
        <item x="0"/>
        <item t="default"/>
      </items>
    </pivotField>
    <pivotField showAll="0">
      <items count="5">
        <item x="0"/>
        <item x="1"/>
        <item x="2"/>
        <item x="3"/>
        <item t="default"/>
      </items>
    </pivotField>
    <pivotField showAll="0"/>
    <pivotField numFmtId="42" showAll="0"/>
    <pivotField numFmtId="42" showAll="0"/>
    <pivotField dataField="1" numFmtId="42" showAll="0"/>
    <pivotField showAll="0"/>
    <pivotField showAll="0">
      <items count="5">
        <item x="0"/>
        <item x="3"/>
        <item x="2"/>
        <item x="1"/>
        <item t="default"/>
      </items>
    </pivotField>
    <pivotField showAll="0">
      <items count="6">
        <item x="1"/>
        <item x="4"/>
        <item x="3"/>
        <item x="2"/>
        <item x="0"/>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4"/>
    <field x="13"/>
    <field x="1"/>
  </rowFields>
  <rowItems count="4">
    <i>
      <x v="1"/>
    </i>
    <i>
      <x v="2"/>
    </i>
    <i>
      <x v="3"/>
    </i>
    <i t="grand">
      <x/>
    </i>
  </rowItems>
  <colItems count="1">
    <i/>
  </colItems>
  <dataFields count="1">
    <dataField name="Sum of Total Price Fixed" fld="9" baseField="0" baseItem="0" numFmtId="42"/>
  </dataFields>
  <formats count="4">
    <format dxfId="36">
      <pivotArea collapsedLevelsAreSubtotals="1" fieldPosition="0">
        <references count="1">
          <reference field="14" count="1">
            <x v="3"/>
          </reference>
        </references>
      </pivotArea>
    </format>
    <format dxfId="35">
      <pivotArea dataOnly="0" labelOnly="1" fieldPosition="0">
        <references count="1">
          <reference field="14" count="1">
            <x v="3"/>
          </reference>
        </references>
      </pivotArea>
    </format>
    <format dxfId="34">
      <pivotArea collapsedLevelsAreSubtotals="1" fieldPosition="0">
        <references count="2">
          <reference field="13" count="1">
            <x v="81"/>
          </reference>
          <reference field="14" count="1" selected="0">
            <x v="3"/>
          </reference>
        </references>
      </pivotArea>
    </format>
    <format dxfId="33">
      <pivotArea dataOnly="0" labelOnly="1" fieldPosition="0">
        <references count="2">
          <reference field="13" count="1">
            <x v="81"/>
          </reference>
          <reference field="14" count="1" selected="0">
            <x v="3"/>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968CF98-E359-48EF-AA72-6818F650C86C}" name="PivotTable13"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32:B43" firstHeaderRow="1" firstDataRow="1" firstDataCol="1"/>
  <pivotFields count="15">
    <pivotField showAll="0"/>
    <pivotField numFmtId="14" showAll="0">
      <items count="77">
        <item x="31"/>
        <item x="0"/>
        <item x="1"/>
        <item x="2"/>
        <item x="32"/>
        <item x="62"/>
        <item x="3"/>
        <item x="33"/>
        <item x="4"/>
        <item x="5"/>
        <item x="34"/>
        <item x="6"/>
        <item x="7"/>
        <item x="35"/>
        <item x="36"/>
        <item x="63"/>
        <item x="8"/>
        <item x="9"/>
        <item x="37"/>
        <item x="64"/>
        <item x="38"/>
        <item x="39"/>
        <item x="73"/>
        <item x="40"/>
        <item x="41"/>
        <item x="10"/>
        <item x="11"/>
        <item x="42"/>
        <item x="12"/>
        <item x="13"/>
        <item x="14"/>
        <item x="15"/>
        <item x="65"/>
        <item x="43"/>
        <item x="66"/>
        <item x="16"/>
        <item x="17"/>
        <item x="18"/>
        <item x="19"/>
        <item x="44"/>
        <item x="45"/>
        <item x="20"/>
        <item x="46"/>
        <item x="47"/>
        <item x="21"/>
        <item x="67"/>
        <item x="68"/>
        <item x="22"/>
        <item x="69"/>
        <item x="48"/>
        <item x="23"/>
        <item x="74"/>
        <item x="49"/>
        <item x="75"/>
        <item x="24"/>
        <item x="25"/>
        <item x="50"/>
        <item x="26"/>
        <item x="51"/>
        <item x="27"/>
        <item x="52"/>
        <item x="53"/>
        <item x="70"/>
        <item x="54"/>
        <item x="55"/>
        <item x="56"/>
        <item x="71"/>
        <item x="57"/>
        <item x="58"/>
        <item x="59"/>
        <item x="28"/>
        <item x="29"/>
        <item x="60"/>
        <item x="61"/>
        <item x="30"/>
        <item x="72"/>
        <item t="default"/>
      </items>
    </pivotField>
    <pivotField numFmtId="164" showAll="0"/>
    <pivotField axis="axisRow" showAll="0" sortType="descending">
      <items count="11">
        <item x="0"/>
        <item x="4"/>
        <item x="1"/>
        <item x="2"/>
        <item x="8"/>
        <item x="3"/>
        <item x="6"/>
        <item x="7"/>
        <item x="9"/>
        <item x="5"/>
        <item t="default"/>
      </items>
      <autoSortScope>
        <pivotArea dataOnly="0" outline="0" fieldPosition="0">
          <references count="1">
            <reference field="4294967294" count="1" selected="0">
              <x v="0"/>
            </reference>
          </references>
        </pivotArea>
      </autoSortScope>
    </pivotField>
    <pivotField showAll="0">
      <items count="11">
        <item x="1"/>
        <item x="7"/>
        <item x="6"/>
        <item x="4"/>
        <item x="5"/>
        <item x="3"/>
        <item x="2"/>
        <item x="8"/>
        <item x="9"/>
        <item x="0"/>
        <item t="default"/>
      </items>
    </pivotField>
    <pivotField showAll="0">
      <items count="5">
        <item x="0"/>
        <item x="1"/>
        <item x="2"/>
        <item x="3"/>
        <item t="default"/>
      </items>
    </pivotField>
    <pivotField showAll="0"/>
    <pivotField numFmtId="42" showAll="0"/>
    <pivotField numFmtId="42" showAll="0"/>
    <pivotField dataField="1" numFmtId="42" showAll="0"/>
    <pivotField showAll="0"/>
    <pivotField showAll="0">
      <items count="5">
        <item x="0"/>
        <item x="3"/>
        <item x="2"/>
        <item x="1"/>
        <item t="default"/>
      </items>
    </pivotField>
    <pivotField showAll="0">
      <items count="6">
        <item x="1"/>
        <item x="4"/>
        <item x="3"/>
        <item x="2"/>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11">
    <i>
      <x/>
    </i>
    <i>
      <x v="7"/>
    </i>
    <i>
      <x v="9"/>
    </i>
    <i>
      <x v="5"/>
    </i>
    <i>
      <x v="4"/>
    </i>
    <i>
      <x v="6"/>
    </i>
    <i>
      <x v="3"/>
    </i>
    <i>
      <x v="1"/>
    </i>
    <i>
      <x v="2"/>
    </i>
    <i>
      <x v="8"/>
    </i>
    <i t="grand">
      <x/>
    </i>
  </rowItems>
  <colItems count="1">
    <i/>
  </colItems>
  <dataFields count="1">
    <dataField name="Sum of Total Price Fixed" fld="9" baseField="0" baseItem="0" numFmtId="42"/>
  </dataFields>
  <formats count="5">
    <format dxfId="7">
      <pivotArea dataOnly="0" fieldPosition="0">
        <references count="1">
          <reference field="3" count="1">
            <x v="0"/>
          </reference>
        </references>
      </pivotArea>
    </format>
    <format dxfId="8">
      <pivotArea dataOnly="0" fieldPosition="0">
        <references count="1">
          <reference field="3" count="1">
            <x v="7"/>
          </reference>
        </references>
      </pivotArea>
    </format>
    <format dxfId="9">
      <pivotArea dataOnly="0" fieldPosition="0">
        <references count="1">
          <reference field="3" count="1">
            <x v="9"/>
          </reference>
        </references>
      </pivotArea>
    </format>
    <format dxfId="10">
      <pivotArea dataOnly="0" fieldPosition="0">
        <references count="1">
          <reference field="3" count="1">
            <x v="5"/>
          </reference>
        </references>
      </pivotArea>
    </format>
    <format dxfId="11">
      <pivotArea dataOnly="0" fieldPosition="0">
        <references count="1">
          <reference field="3" count="1">
            <x v="4"/>
          </reference>
        </references>
      </pivotArea>
    </format>
  </formats>
  <chartFormats count="11">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3" count="1" selected="0">
            <x v="0"/>
          </reference>
        </references>
      </pivotArea>
    </chartFormat>
    <chartFormat chart="3" format="2">
      <pivotArea type="data" outline="0" fieldPosition="0">
        <references count="2">
          <reference field="4294967294" count="1" selected="0">
            <x v="0"/>
          </reference>
          <reference field="3" count="1" selected="0">
            <x v="1"/>
          </reference>
        </references>
      </pivotArea>
    </chartFormat>
    <chartFormat chart="3" format="3">
      <pivotArea type="data" outline="0" fieldPosition="0">
        <references count="2">
          <reference field="4294967294" count="1" selected="0">
            <x v="0"/>
          </reference>
          <reference field="3" count="1" selected="0">
            <x v="2"/>
          </reference>
        </references>
      </pivotArea>
    </chartFormat>
    <chartFormat chart="3" format="4">
      <pivotArea type="data" outline="0" fieldPosition="0">
        <references count="2">
          <reference field="4294967294" count="1" selected="0">
            <x v="0"/>
          </reference>
          <reference field="3" count="1" selected="0">
            <x v="3"/>
          </reference>
        </references>
      </pivotArea>
    </chartFormat>
    <chartFormat chart="3" format="5">
      <pivotArea type="data" outline="0" fieldPosition="0">
        <references count="2">
          <reference field="4294967294" count="1" selected="0">
            <x v="0"/>
          </reference>
          <reference field="3" count="1" selected="0">
            <x v="4"/>
          </reference>
        </references>
      </pivotArea>
    </chartFormat>
    <chartFormat chart="3" format="6">
      <pivotArea type="data" outline="0" fieldPosition="0">
        <references count="2">
          <reference field="4294967294" count="1" selected="0">
            <x v="0"/>
          </reference>
          <reference field="3" count="1" selected="0">
            <x v="5"/>
          </reference>
        </references>
      </pivotArea>
    </chartFormat>
    <chartFormat chart="3" format="7">
      <pivotArea type="data" outline="0" fieldPosition="0">
        <references count="2">
          <reference field="4294967294" count="1" selected="0">
            <x v="0"/>
          </reference>
          <reference field="3" count="1" selected="0">
            <x v="6"/>
          </reference>
        </references>
      </pivotArea>
    </chartFormat>
    <chartFormat chart="3" format="8">
      <pivotArea type="data" outline="0" fieldPosition="0">
        <references count="2">
          <reference field="4294967294" count="1" selected="0">
            <x v="0"/>
          </reference>
          <reference field="3" count="1" selected="0">
            <x v="7"/>
          </reference>
        </references>
      </pivotArea>
    </chartFormat>
    <chartFormat chart="3" format="9">
      <pivotArea type="data" outline="0" fieldPosition="0">
        <references count="2">
          <reference field="4294967294" count="1" selected="0">
            <x v="0"/>
          </reference>
          <reference field="3" count="1" selected="0">
            <x v="8"/>
          </reference>
        </references>
      </pivotArea>
    </chartFormat>
    <chartFormat chart="3" format="10">
      <pivotArea type="data" outline="0" fieldPosition="0">
        <references count="2">
          <reference field="4294967294" count="1" selected="0">
            <x v="0"/>
          </reference>
          <reference field="3"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32526DE-3D75-4314-AFF8-42332BD968C9}" name="PivotTable21"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U6:U7" firstHeaderRow="1" firstDataRow="1" firstDataCol="0"/>
  <pivotFields count="15">
    <pivotField dataField="1" showAll="0"/>
    <pivotField numFmtId="14" showAll="0">
      <items count="77">
        <item x="31"/>
        <item x="0"/>
        <item x="1"/>
        <item x="2"/>
        <item x="32"/>
        <item x="62"/>
        <item x="3"/>
        <item x="33"/>
        <item x="4"/>
        <item x="5"/>
        <item x="34"/>
        <item x="6"/>
        <item x="7"/>
        <item x="35"/>
        <item x="36"/>
        <item x="63"/>
        <item x="8"/>
        <item x="9"/>
        <item x="37"/>
        <item x="64"/>
        <item x="38"/>
        <item x="39"/>
        <item x="73"/>
        <item x="40"/>
        <item x="41"/>
        <item x="10"/>
        <item x="11"/>
        <item x="42"/>
        <item x="12"/>
        <item x="13"/>
        <item x="14"/>
        <item x="15"/>
        <item x="65"/>
        <item x="43"/>
        <item x="66"/>
        <item x="16"/>
        <item x="17"/>
        <item x="18"/>
        <item x="19"/>
        <item x="44"/>
        <item x="45"/>
        <item x="20"/>
        <item x="46"/>
        <item x="47"/>
        <item x="21"/>
        <item x="67"/>
        <item x="68"/>
        <item x="22"/>
        <item x="69"/>
        <item x="48"/>
        <item x="23"/>
        <item x="74"/>
        <item x="49"/>
        <item x="75"/>
        <item x="24"/>
        <item x="25"/>
        <item x="50"/>
        <item x="26"/>
        <item x="51"/>
        <item x="27"/>
        <item x="52"/>
        <item x="53"/>
        <item x="70"/>
        <item x="54"/>
        <item x="55"/>
        <item x="56"/>
        <item x="71"/>
        <item x="57"/>
        <item x="58"/>
        <item x="59"/>
        <item x="28"/>
        <item x="29"/>
        <item x="60"/>
        <item x="61"/>
        <item x="30"/>
        <item x="72"/>
        <item t="default"/>
      </items>
    </pivotField>
    <pivotField numFmtId="164" showAll="0"/>
    <pivotField showAll="0"/>
    <pivotField showAll="0">
      <items count="11">
        <item x="1"/>
        <item x="7"/>
        <item x="6"/>
        <item x="4"/>
        <item x="5"/>
        <item x="3"/>
        <item x="2"/>
        <item x="8"/>
        <item x="9"/>
        <item x="0"/>
        <item t="default"/>
      </items>
    </pivotField>
    <pivotField showAll="0">
      <items count="5">
        <item x="0"/>
        <item x="1"/>
        <item x="2"/>
        <item x="3"/>
        <item t="default"/>
      </items>
    </pivotField>
    <pivotField showAll="0"/>
    <pivotField numFmtId="42" showAll="0"/>
    <pivotField numFmtId="42" showAll="0"/>
    <pivotField numFmtId="42" showAll="0"/>
    <pivotField showAll="0"/>
    <pivotField showAll="0">
      <items count="5">
        <item x="0"/>
        <item x="3"/>
        <item x="2"/>
        <item x="1"/>
        <item t="default"/>
      </items>
    </pivotField>
    <pivotField showAll="0">
      <items count="6">
        <item x="1"/>
        <item x="4"/>
        <item x="3"/>
        <item x="2"/>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ORDER" fld="0" subtotal="count" baseField="0" baseItem="0"/>
  </dataFields>
  <formats count="7">
    <format dxfId="43">
      <pivotArea type="all" dataOnly="0" outline="0" fieldPosition="0"/>
    </format>
    <format dxfId="42">
      <pivotArea outline="0" collapsedLevelsAreSubtotals="1" fieldPosition="0"/>
    </format>
    <format dxfId="41">
      <pivotArea dataOnly="0" labelOnly="1" outline="0" axis="axisValues" fieldPosition="0"/>
    </format>
    <format dxfId="40">
      <pivotArea outline="0" collapsedLevelsAreSubtotals="1" fieldPosition="0"/>
    </format>
    <format dxfId="39">
      <pivotArea outline="0" collapsedLevelsAreSubtotals="1" fieldPosition="0"/>
    </format>
    <format dxfId="38">
      <pivotArea dataOnly="0" labelOnly="1" outline="0" axis="axisValues" fieldPosition="0"/>
    </format>
    <format dxfId="3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9E3075B-18AA-4072-84A5-D65D908C2A00}" name="PivotTable18"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3:E4" firstHeaderRow="1" firstDataRow="1" firstDataCol="0"/>
  <pivotFields count="15">
    <pivotField dataField="1" showAll="0"/>
    <pivotField numFmtId="14" showAll="0">
      <items count="77">
        <item x="31"/>
        <item x="0"/>
        <item x="1"/>
        <item x="2"/>
        <item x="32"/>
        <item x="62"/>
        <item x="3"/>
        <item x="33"/>
        <item x="4"/>
        <item x="5"/>
        <item x="34"/>
        <item x="6"/>
        <item x="7"/>
        <item x="35"/>
        <item x="36"/>
        <item x="63"/>
        <item x="8"/>
        <item x="9"/>
        <item x="37"/>
        <item x="64"/>
        <item x="38"/>
        <item x="39"/>
        <item x="73"/>
        <item x="40"/>
        <item x="41"/>
        <item x="10"/>
        <item x="11"/>
        <item x="42"/>
        <item x="12"/>
        <item x="13"/>
        <item x="14"/>
        <item x="15"/>
        <item x="65"/>
        <item x="43"/>
        <item x="66"/>
        <item x="16"/>
        <item x="17"/>
        <item x="18"/>
        <item x="19"/>
        <item x="44"/>
        <item x="45"/>
        <item x="20"/>
        <item x="46"/>
        <item x="47"/>
        <item x="21"/>
        <item x="67"/>
        <item x="68"/>
        <item x="22"/>
        <item x="69"/>
        <item x="48"/>
        <item x="23"/>
        <item x="74"/>
        <item x="49"/>
        <item x="75"/>
        <item x="24"/>
        <item x="25"/>
        <item x="50"/>
        <item x="26"/>
        <item x="51"/>
        <item x="27"/>
        <item x="52"/>
        <item x="53"/>
        <item x="70"/>
        <item x="54"/>
        <item x="55"/>
        <item x="56"/>
        <item x="71"/>
        <item x="57"/>
        <item x="58"/>
        <item x="59"/>
        <item x="28"/>
        <item x="29"/>
        <item x="60"/>
        <item x="61"/>
        <item x="30"/>
        <item x="72"/>
        <item t="default"/>
      </items>
    </pivotField>
    <pivotField numFmtId="164" showAll="0"/>
    <pivotField showAll="0"/>
    <pivotField showAll="0">
      <items count="11">
        <item x="1"/>
        <item x="7"/>
        <item x="6"/>
        <item x="4"/>
        <item x="5"/>
        <item x="3"/>
        <item x="2"/>
        <item x="8"/>
        <item x="9"/>
        <item x="0"/>
        <item t="default"/>
      </items>
    </pivotField>
    <pivotField showAll="0">
      <items count="5">
        <item x="0"/>
        <item x="1"/>
        <item x="2"/>
        <item x="3"/>
        <item t="default"/>
      </items>
    </pivotField>
    <pivotField showAll="0"/>
    <pivotField numFmtId="42" showAll="0"/>
    <pivotField numFmtId="42" showAll="0"/>
    <pivotField numFmtId="42" showAll="0"/>
    <pivotField showAll="0"/>
    <pivotField showAll="0">
      <items count="5">
        <item x="0"/>
        <item x="3"/>
        <item x="2"/>
        <item x="1"/>
        <item t="default"/>
      </items>
    </pivotField>
    <pivotField showAll="0">
      <items count="6">
        <item x="1"/>
        <item x="4"/>
        <item x="3"/>
        <item x="2"/>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ORDER" fld="0" subtotal="count" baseField="0" baseItem="0"/>
  </dataFields>
  <formats count="3">
    <format dxfId="46">
      <pivotArea type="all" dataOnly="0" outline="0" fieldPosition="0"/>
    </format>
    <format dxfId="45">
      <pivotArea outline="0" collapsedLevelsAreSubtotals="1" fieldPosition="0"/>
    </format>
    <format dxfId="4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5F3D5169-4279-462D-8139-5157E6F4459C}" sourceName="Product">
  <pivotTables>
    <pivotTable tabId="4" name="PivotTable11"/>
    <pivotTable tabId="4" name="PivotTable10"/>
    <pivotTable tabId="4" name="PivotTable12"/>
    <pivotTable tabId="4" name="PivotTable13"/>
    <pivotTable tabId="4" name="PivotTable14"/>
    <pivotTable tabId="4" name="PivotTable16"/>
    <pivotTable tabId="4" name="PivotTable17"/>
    <pivotTable tabId="4" name="PivotTable18"/>
    <pivotTable tabId="4" name="PivotTable21"/>
  </pivotTables>
  <data>
    <tabular pivotCacheId="550897777">
      <items count="10">
        <i x="1" s="1"/>
        <i x="7" s="1"/>
        <i x="6" s="1"/>
        <i x="4" s="1"/>
        <i x="5" s="1"/>
        <i x="3" s="1"/>
        <i x="2" s="1"/>
        <i x="8" s="1"/>
        <i x="9"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A919605-3C2A-4CC3-BDF6-32F61F7335FA}" sourceName="Category">
  <pivotTables>
    <pivotTable tabId="4" name="PivotTable11"/>
    <pivotTable tabId="4" name="PivotTable10"/>
    <pivotTable tabId="4" name="PivotTable12"/>
    <pivotTable tabId="4" name="PivotTable13"/>
    <pivotTable tabId="4" name="PivotTable14"/>
    <pivotTable tabId="4" name="PivotTable16"/>
    <pivotTable tabId="4" name="PivotTable17"/>
    <pivotTable tabId="4" name="PivotTable18"/>
    <pivotTable tabId="4" name="PivotTable21"/>
  </pivotTables>
  <data>
    <tabular pivotCacheId="550897777">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176D2096-5507-4F62-9C5A-6B747BB5E869}" sourceName="Payment Method">
  <pivotTables>
    <pivotTable tabId="4" name="PivotTable11"/>
    <pivotTable tabId="4" name="PivotTable10"/>
    <pivotTable tabId="4" name="PivotTable12"/>
    <pivotTable tabId="4" name="PivotTable13"/>
    <pivotTable tabId="4" name="PivotTable14"/>
    <pivotTable tabId="4" name="PivotTable16"/>
    <pivotTable tabId="4" name="PivotTable17"/>
    <pivotTable tabId="4" name="PivotTable18"/>
    <pivotTable tabId="4" name="PivotTable21"/>
  </pivotTables>
  <data>
    <tabular pivotCacheId="550897777">
      <items count="4">
        <i x="0" s="1"/>
        <i x="3"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Location" xr10:uid="{4892D675-7822-4ECC-9218-62F2B5315765}" sourceName="Store Location">
  <pivotTables>
    <pivotTable tabId="4" name="PivotTable11"/>
    <pivotTable tabId="4" name="PivotTable10"/>
    <pivotTable tabId="4" name="PivotTable12"/>
    <pivotTable tabId="4" name="PivotTable13"/>
    <pivotTable tabId="4" name="PivotTable14"/>
    <pivotTable tabId="4" name="PivotTable16"/>
    <pivotTable tabId="4" name="PivotTable17"/>
    <pivotTable tabId="4" name="PivotTable18"/>
    <pivotTable tabId="4" name="PivotTable21"/>
  </pivotTables>
  <data>
    <tabular pivotCacheId="550897777">
      <items count="5">
        <i x="1" s="1"/>
        <i x="4"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C009A828-8E5F-43B7-A711-0904FF959355}" cache="Slicer_Product" caption="Product" rowHeight="241300"/>
  <slicer name="Category" xr10:uid="{351E6BAC-8EF5-4E7F-8700-6EF28FDC6634}" cache="Slicer_Category" caption="Category" rowHeight="241300"/>
  <slicer name="Payment Method" xr10:uid="{1D532D9D-E6D3-405C-934C-3544A1FA0785}" cache="Slicer_Payment_Method" caption="Payment Method" rowHeight="241300"/>
  <slicer name="Store Location" xr10:uid="{1EC5ADA2-0872-4CDD-B92B-546CB8F6B5B4}" cache="Slicer_Store_Location" caption="Store Location" rowHeight="241300"/>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on">
  <a:themeElements>
    <a:clrScheme name="Ion">
      <a:dk1>
        <a:sysClr val="windowText" lastClr="000000"/>
      </a:dk1>
      <a:lt1>
        <a:sysClr val="window" lastClr="FFFFFF"/>
      </a:lt1>
      <a:dk2>
        <a:srgbClr val="1E5155"/>
      </a:dk2>
      <a:lt2>
        <a:srgbClr val="EBEBEB"/>
      </a:lt2>
      <a:accent1>
        <a:srgbClr val="B01513"/>
      </a:accent1>
      <a:accent2>
        <a:srgbClr val="EA6312"/>
      </a:accent2>
      <a:accent3>
        <a:srgbClr val="E6B729"/>
      </a:accent3>
      <a:accent4>
        <a:srgbClr val="6AAC90"/>
      </a:accent4>
      <a:accent5>
        <a:srgbClr val="54849A"/>
      </a:accent5>
      <a:accent6>
        <a:srgbClr val="9E5E9B"/>
      </a:accent6>
      <a:hlink>
        <a:srgbClr val="58C1BA"/>
      </a:hlink>
      <a:folHlink>
        <a:srgbClr val="9DFFCB"/>
      </a:folHlink>
    </a:clrScheme>
    <a:fontScheme name="Ion">
      <a:majorFont>
        <a:latin typeface="Century Gothic" panose="020B050202020202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Ion">
      <a:fillStyleLst>
        <a:solidFill>
          <a:schemeClr val="phClr"/>
        </a:solidFill>
        <a:gradFill rotWithShape="1">
          <a:gsLst>
            <a:gs pos="0">
              <a:schemeClr val="phClr">
                <a:tint val="64000"/>
                <a:lumMod val="118000"/>
              </a:schemeClr>
            </a:gs>
            <a:gs pos="100000">
              <a:schemeClr val="phClr">
                <a:tint val="92000"/>
                <a:alpha val="100000"/>
                <a:lumMod val="110000"/>
              </a:schemeClr>
            </a:gs>
          </a:gsLst>
          <a:lin ang="5400000" scaled="0"/>
        </a:gradFill>
        <a:gradFill rotWithShape="1">
          <a:gsLst>
            <a:gs pos="0">
              <a:schemeClr val="phClr">
                <a:tint val="98000"/>
                <a:lumMod val="114000"/>
              </a:schemeClr>
            </a:gs>
            <a:gs pos="100000">
              <a:schemeClr val="phClr">
                <a:shade val="90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8575" cap="rnd" cmpd="sng"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7000"/>
                <a:hueMod val="88000"/>
                <a:satMod val="130000"/>
                <a:lumMod val="124000"/>
              </a:schemeClr>
            </a:gs>
            <a:gs pos="100000">
              <a:schemeClr val="phClr">
                <a:tint val="96000"/>
                <a:shade val="88000"/>
                <a:hueMod val="108000"/>
                <a:satMod val="164000"/>
                <a:lumMod val="76000"/>
              </a:schemeClr>
            </a:gs>
          </a:gsLst>
          <a:path path="circle">
            <a:fillToRect l="45000" t="65000" r="125000" b="100000"/>
          </a:path>
        </a:gradFill>
        <a:blipFill rotWithShape="1">
          <a:blip xmlns:r="http://schemas.openxmlformats.org/officeDocument/2006/relationships" r:embed="rId1">
            <a:duotone>
              <a:schemeClr val="phClr">
                <a:shade val="69000"/>
                <a:hueMod val="108000"/>
                <a:satMod val="164000"/>
                <a:lumMod val="74000"/>
              </a:schemeClr>
              <a:schemeClr val="phClr">
                <a:tint val="96000"/>
                <a:hueMod val="88000"/>
                <a:satMod val="140000"/>
                <a:lumMod val="132000"/>
              </a:schemeClr>
            </a:duotone>
          </a:blip>
          <a:stretch/>
        </a:blipFill>
      </a:bgFillStyleLst>
    </a:fmtScheme>
  </a:themeElements>
  <a:objectDefaults/>
  <a:extraClrSchemeLst/>
  <a:extLst>
    <a:ext uri="{05A4C25C-085E-4340-85A3-A5531E510DB2}">
      <thm15:themeFamily xmlns:thm15="http://schemas.microsoft.com/office/thememl/2012/main" name="Ion" id="{B8441ADB-2E43-4AF7-B97A-BD870242C6A8}" vid="{292E63A9-BB86-4E3D-B92A-7223C6510D2E}"/>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CD0880F8-04F3-49DA-A809-C3A69FF7470A}" sourceName="Date">
  <pivotTables>
    <pivotTable tabId="4" name="PivotTable11"/>
    <pivotTable tabId="4" name="PivotTable10"/>
    <pivotTable tabId="4" name="PivotTable12"/>
    <pivotTable tabId="4" name="PivotTable13"/>
    <pivotTable tabId="4" name="PivotTable14"/>
    <pivotTable tabId="4" name="PivotTable16"/>
    <pivotTable tabId="4" name="PivotTable17"/>
    <pivotTable tabId="4" name="PivotTable18"/>
    <pivotTable tabId="4" name="PivotTable21"/>
  </pivotTables>
  <state minimalRefreshVersion="6" lastRefreshVersion="6" pivotCacheId="550897777" filterType="unknown">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32492FB9-B9BE-4EFF-91C3-E57CD6227B26}" cache="NativeTimeline_Date" caption="Date" level="2" selectionLevel="2" scrollPosition="2024-01-01T00:00:00"/>
</timeline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EF16C-8AF6-42B3-BA70-D5608DF177D5}">
  <dimension ref="A1:B14"/>
  <sheetViews>
    <sheetView workbookViewId="0">
      <selection activeCell="B10" sqref="B10"/>
    </sheetView>
  </sheetViews>
  <sheetFormatPr defaultRowHeight="16.5" x14ac:dyDescent="0.3"/>
  <cols>
    <col min="1" max="1" width="16.375" customWidth="1"/>
    <col min="2" max="2" width="82.25" customWidth="1"/>
  </cols>
  <sheetData>
    <row r="1" spans="1:2" x14ac:dyDescent="0.3">
      <c r="A1" s="2" t="s">
        <v>243</v>
      </c>
      <c r="B1" s="2" t="s">
        <v>244</v>
      </c>
    </row>
    <row r="2" spans="1:2" x14ac:dyDescent="0.3">
      <c r="A2" t="s">
        <v>0</v>
      </c>
      <c r="B2" t="s">
        <v>245</v>
      </c>
    </row>
    <row r="3" spans="1:2" x14ac:dyDescent="0.3">
      <c r="A3" t="s">
        <v>1</v>
      </c>
      <c r="B3" t="s">
        <v>246</v>
      </c>
    </row>
    <row r="4" spans="1:2" x14ac:dyDescent="0.3">
      <c r="A4" t="s">
        <v>2</v>
      </c>
      <c r="B4" t="s">
        <v>247</v>
      </c>
    </row>
    <row r="5" spans="1:2" x14ac:dyDescent="0.3">
      <c r="A5" t="s">
        <v>3</v>
      </c>
      <c r="B5" t="s">
        <v>248</v>
      </c>
    </row>
    <row r="6" spans="1:2" x14ac:dyDescent="0.3">
      <c r="A6" t="s">
        <v>4</v>
      </c>
      <c r="B6" t="s">
        <v>249</v>
      </c>
    </row>
    <row r="7" spans="1:2" x14ac:dyDescent="0.3">
      <c r="A7" t="s">
        <v>5</v>
      </c>
      <c r="B7" t="s">
        <v>250</v>
      </c>
    </row>
    <row r="8" spans="1:2" x14ac:dyDescent="0.3">
      <c r="A8" t="s">
        <v>6</v>
      </c>
      <c r="B8" t="s">
        <v>251</v>
      </c>
    </row>
    <row r="9" spans="1:2" x14ac:dyDescent="0.3">
      <c r="A9" t="s">
        <v>7</v>
      </c>
      <c r="B9" t="s">
        <v>252</v>
      </c>
    </row>
    <row r="10" spans="1:2" x14ac:dyDescent="0.3">
      <c r="A10" t="s">
        <v>8</v>
      </c>
      <c r="B10" t="s">
        <v>253</v>
      </c>
    </row>
    <row r="11" spans="1:2" x14ac:dyDescent="0.3">
      <c r="A11" t="s">
        <v>9</v>
      </c>
      <c r="B11" t="s">
        <v>254</v>
      </c>
    </row>
    <row r="14" spans="1:2" ht="45" x14ac:dyDescent="0.3">
      <c r="A14" s="3" t="s">
        <v>255</v>
      </c>
      <c r="B14" s="4" t="s">
        <v>256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05"/>
  <sheetViews>
    <sheetView topLeftCell="B1" zoomScale="75" workbookViewId="0">
      <pane ySplit="1" topLeftCell="A133" activePane="bottomLeft" state="frozen"/>
      <selection pane="bottomLeft" activeCell="B1" sqref="B1"/>
    </sheetView>
  </sheetViews>
  <sheetFormatPr defaultRowHeight="16.5" x14ac:dyDescent="0.3"/>
  <cols>
    <col min="1" max="1" width="18.25" customWidth="1"/>
    <col min="2" max="2" width="19.375" style="15" customWidth="1"/>
    <col min="3" max="3" width="19.375" style="13" customWidth="1"/>
    <col min="4" max="4" width="15.375" customWidth="1"/>
    <col min="5" max="5" width="12.25" customWidth="1"/>
    <col min="6" max="6" width="11.25" customWidth="1"/>
    <col min="7" max="7" width="8.625" customWidth="1"/>
    <col min="8" max="8" width="14.25" style="10" customWidth="1"/>
    <col min="9" max="9" width="16.25" style="10" customWidth="1"/>
    <col min="10" max="10" width="21.5" style="10" customWidth="1"/>
    <col min="11" max="11" width="24.375" customWidth="1"/>
    <col min="12" max="12" width="16.5" customWidth="1"/>
    <col min="13" max="13" width="13.625" customWidth="1"/>
    <col min="15" max="15" width="8"/>
  </cols>
  <sheetData>
    <row r="1" spans="1:13" x14ac:dyDescent="0.3">
      <c r="A1" s="1" t="s">
        <v>0</v>
      </c>
      <c r="B1" s="14" t="s">
        <v>1</v>
      </c>
      <c r="C1" s="12" t="s">
        <v>263</v>
      </c>
      <c r="D1" s="1" t="s">
        <v>2</v>
      </c>
      <c r="E1" s="1" t="s">
        <v>3</v>
      </c>
      <c r="F1" s="1" t="s">
        <v>4</v>
      </c>
      <c r="G1" s="1" t="s">
        <v>5</v>
      </c>
      <c r="H1" s="16" t="s">
        <v>6</v>
      </c>
      <c r="I1" s="16" t="s">
        <v>7</v>
      </c>
      <c r="J1" s="17" t="s">
        <v>264</v>
      </c>
      <c r="K1" s="8" t="s">
        <v>262</v>
      </c>
      <c r="L1" s="1" t="s">
        <v>8</v>
      </c>
      <c r="M1" s="1" t="s">
        <v>9</v>
      </c>
    </row>
    <row r="2" spans="1:13" x14ac:dyDescent="0.3">
      <c r="A2" t="s">
        <v>193</v>
      </c>
      <c r="B2" s="15">
        <v>45294</v>
      </c>
      <c r="C2" s="13">
        <v>0</v>
      </c>
      <c r="D2" t="s">
        <v>218</v>
      </c>
      <c r="E2" t="s">
        <v>229</v>
      </c>
      <c r="F2" t="s">
        <v>233</v>
      </c>
      <c r="G2">
        <v>3</v>
      </c>
      <c r="H2" s="10">
        <v>75000</v>
      </c>
      <c r="I2" s="10">
        <v>225000</v>
      </c>
      <c r="J2" s="10">
        <f t="shared" ref="J2:J33" si="0">H2*G2</f>
        <v>225000</v>
      </c>
      <c r="K2" s="9" t="str">
        <f t="shared" ref="K2:K33" si="1">IF(J2=I2,"TRUE","FALSE")</f>
        <v>TRUE</v>
      </c>
      <c r="L2" t="s">
        <v>236</v>
      </c>
      <c r="M2" t="s">
        <v>240</v>
      </c>
    </row>
    <row r="3" spans="1:13" x14ac:dyDescent="0.3">
      <c r="A3" t="s">
        <v>127</v>
      </c>
      <c r="B3" s="15">
        <v>45295</v>
      </c>
      <c r="C3" s="13">
        <v>0</v>
      </c>
      <c r="D3" t="s">
        <v>219</v>
      </c>
      <c r="E3" t="s">
        <v>228</v>
      </c>
      <c r="F3" t="s">
        <v>233</v>
      </c>
      <c r="G3">
        <v>3</v>
      </c>
      <c r="H3" s="10">
        <v>350000</v>
      </c>
      <c r="I3" s="10">
        <v>1050000</v>
      </c>
      <c r="J3" s="10">
        <f t="shared" si="0"/>
        <v>1050000</v>
      </c>
      <c r="K3" s="9" t="str">
        <f t="shared" si="1"/>
        <v>TRUE</v>
      </c>
      <c r="L3" t="s">
        <v>235</v>
      </c>
      <c r="M3" t="s">
        <v>238</v>
      </c>
    </row>
    <row r="4" spans="1:13" x14ac:dyDescent="0.3">
      <c r="A4" t="s">
        <v>77</v>
      </c>
      <c r="B4" s="15">
        <v>45296</v>
      </c>
      <c r="C4" s="13">
        <v>0</v>
      </c>
      <c r="D4" t="s">
        <v>212</v>
      </c>
      <c r="E4" t="s">
        <v>228</v>
      </c>
      <c r="F4" t="s">
        <v>233</v>
      </c>
      <c r="G4">
        <v>2</v>
      </c>
      <c r="H4" s="10">
        <v>350000</v>
      </c>
      <c r="I4" s="10">
        <v>700000</v>
      </c>
      <c r="J4" s="10">
        <f t="shared" si="0"/>
        <v>700000</v>
      </c>
      <c r="K4" s="9" t="str">
        <f t="shared" si="1"/>
        <v>TRUE</v>
      </c>
      <c r="L4" t="s">
        <v>235</v>
      </c>
      <c r="M4" t="s">
        <v>241</v>
      </c>
    </row>
    <row r="5" spans="1:13" x14ac:dyDescent="0.3">
      <c r="A5" t="s">
        <v>162</v>
      </c>
      <c r="B5" s="15">
        <v>45296</v>
      </c>
      <c r="C5" s="13">
        <v>0</v>
      </c>
      <c r="D5" t="s">
        <v>215</v>
      </c>
      <c r="E5" t="s">
        <v>228</v>
      </c>
      <c r="F5" t="s">
        <v>233</v>
      </c>
      <c r="G5">
        <v>1</v>
      </c>
      <c r="H5" s="10">
        <v>350000</v>
      </c>
      <c r="I5" s="10">
        <v>350000</v>
      </c>
      <c r="J5" s="10">
        <f t="shared" si="0"/>
        <v>350000</v>
      </c>
      <c r="K5" s="9" t="str">
        <f t="shared" si="1"/>
        <v>TRUE</v>
      </c>
      <c r="L5" t="s">
        <v>237</v>
      </c>
      <c r="M5" t="s">
        <v>241</v>
      </c>
    </row>
    <row r="6" spans="1:13" x14ac:dyDescent="0.3">
      <c r="A6" t="s">
        <v>48</v>
      </c>
      <c r="B6" s="15">
        <v>45299</v>
      </c>
      <c r="C6" s="13">
        <v>0</v>
      </c>
      <c r="D6" t="s">
        <v>211</v>
      </c>
      <c r="E6" t="s">
        <v>229</v>
      </c>
      <c r="F6" t="s">
        <v>233</v>
      </c>
      <c r="G6">
        <v>3</v>
      </c>
      <c r="H6" s="10">
        <v>75000</v>
      </c>
      <c r="I6" s="10">
        <v>225000</v>
      </c>
      <c r="J6" s="10">
        <f t="shared" si="0"/>
        <v>225000</v>
      </c>
      <c r="K6" s="9" t="str">
        <f t="shared" si="1"/>
        <v>TRUE</v>
      </c>
      <c r="L6" t="s">
        <v>234</v>
      </c>
      <c r="M6" t="s">
        <v>238</v>
      </c>
    </row>
    <row r="7" spans="1:13" x14ac:dyDescent="0.3">
      <c r="A7" t="s">
        <v>59</v>
      </c>
      <c r="B7" s="15">
        <v>45302</v>
      </c>
      <c r="C7" s="13">
        <v>0</v>
      </c>
      <c r="D7" t="s">
        <v>214</v>
      </c>
      <c r="E7" t="s">
        <v>229</v>
      </c>
      <c r="F7" t="s">
        <v>233</v>
      </c>
      <c r="G7">
        <v>5</v>
      </c>
      <c r="H7" s="10">
        <v>75000</v>
      </c>
      <c r="I7" s="10">
        <v>375000</v>
      </c>
      <c r="J7" s="10">
        <f t="shared" si="0"/>
        <v>375000</v>
      </c>
      <c r="K7" s="9" t="str">
        <f t="shared" si="1"/>
        <v>TRUE</v>
      </c>
      <c r="L7" t="s">
        <v>237</v>
      </c>
      <c r="M7" t="s">
        <v>241</v>
      </c>
    </row>
    <row r="8" spans="1:13" x14ac:dyDescent="0.3">
      <c r="A8" t="s">
        <v>183</v>
      </c>
      <c r="B8" s="15">
        <v>45303</v>
      </c>
      <c r="C8" s="13">
        <v>0</v>
      </c>
      <c r="D8" t="s">
        <v>211</v>
      </c>
      <c r="E8" t="s">
        <v>229</v>
      </c>
      <c r="F8" t="s">
        <v>233</v>
      </c>
      <c r="G8">
        <v>1</v>
      </c>
      <c r="H8" s="10">
        <v>75000</v>
      </c>
      <c r="I8" s="10">
        <v>75000</v>
      </c>
      <c r="J8" s="10">
        <f t="shared" si="0"/>
        <v>75000</v>
      </c>
      <c r="K8" s="9" t="str">
        <f t="shared" si="1"/>
        <v>TRUE</v>
      </c>
      <c r="L8" t="s">
        <v>235</v>
      </c>
      <c r="M8" t="s">
        <v>238</v>
      </c>
    </row>
    <row r="9" spans="1:13" x14ac:dyDescent="0.3">
      <c r="A9" t="s">
        <v>163</v>
      </c>
      <c r="B9" s="15">
        <v>45306</v>
      </c>
      <c r="C9" s="13">
        <v>0</v>
      </c>
      <c r="D9" t="s">
        <v>218</v>
      </c>
      <c r="E9" t="s">
        <v>229</v>
      </c>
      <c r="F9" t="s">
        <v>233</v>
      </c>
      <c r="G9">
        <v>5</v>
      </c>
      <c r="H9" s="10">
        <v>75000</v>
      </c>
      <c r="I9" s="10">
        <v>375000</v>
      </c>
      <c r="J9" s="10">
        <f t="shared" si="0"/>
        <v>375000</v>
      </c>
      <c r="K9" s="9" t="str">
        <f t="shared" si="1"/>
        <v>TRUE</v>
      </c>
      <c r="L9" t="s">
        <v>235</v>
      </c>
      <c r="M9" t="s">
        <v>242</v>
      </c>
    </row>
    <row r="10" spans="1:13" x14ac:dyDescent="0.3">
      <c r="A10" t="s">
        <v>154</v>
      </c>
      <c r="B10" s="15">
        <v>45307</v>
      </c>
      <c r="C10" s="13">
        <v>0</v>
      </c>
      <c r="D10" t="s">
        <v>213</v>
      </c>
      <c r="E10" t="s">
        <v>228</v>
      </c>
      <c r="F10" t="s">
        <v>233</v>
      </c>
      <c r="G10">
        <v>3</v>
      </c>
      <c r="H10" s="10">
        <v>350000</v>
      </c>
      <c r="I10" s="10">
        <v>1050000</v>
      </c>
      <c r="J10" s="10">
        <f t="shared" si="0"/>
        <v>1050000</v>
      </c>
      <c r="K10" s="9" t="str">
        <f t="shared" si="1"/>
        <v>TRUE</v>
      </c>
      <c r="L10" t="s">
        <v>237</v>
      </c>
      <c r="M10" t="s">
        <v>240</v>
      </c>
    </row>
    <row r="11" spans="1:13" x14ac:dyDescent="0.3">
      <c r="A11" t="s">
        <v>12</v>
      </c>
      <c r="B11" s="15">
        <v>45295</v>
      </c>
      <c r="C11" s="13">
        <v>0</v>
      </c>
      <c r="D11" t="s">
        <v>212</v>
      </c>
      <c r="E11" t="s">
        <v>220</v>
      </c>
      <c r="F11" t="s">
        <v>230</v>
      </c>
      <c r="G11">
        <v>2</v>
      </c>
      <c r="H11" s="10">
        <v>150000</v>
      </c>
      <c r="I11" s="10">
        <v>300000</v>
      </c>
      <c r="J11" s="10">
        <f t="shared" si="0"/>
        <v>300000</v>
      </c>
      <c r="K11" s="9" t="str">
        <f t="shared" si="1"/>
        <v>TRUE</v>
      </c>
      <c r="L11" t="s">
        <v>236</v>
      </c>
      <c r="M11" t="s">
        <v>240</v>
      </c>
    </row>
    <row r="12" spans="1:13" x14ac:dyDescent="0.3">
      <c r="A12" t="s">
        <v>52</v>
      </c>
      <c r="B12" s="15">
        <v>45313</v>
      </c>
      <c r="C12" s="13">
        <v>0</v>
      </c>
      <c r="D12" t="s">
        <v>216</v>
      </c>
      <c r="E12" t="s">
        <v>229</v>
      </c>
      <c r="F12" t="s">
        <v>233</v>
      </c>
      <c r="G12">
        <v>4</v>
      </c>
      <c r="H12" s="10">
        <v>75000</v>
      </c>
      <c r="I12" s="10">
        <v>300000</v>
      </c>
      <c r="J12" s="10">
        <f t="shared" si="0"/>
        <v>300000</v>
      </c>
      <c r="K12" s="9" t="str">
        <f t="shared" si="1"/>
        <v>TRUE</v>
      </c>
      <c r="L12" t="s">
        <v>234</v>
      </c>
      <c r="M12" t="s">
        <v>242</v>
      </c>
    </row>
    <row r="13" spans="1:13" x14ac:dyDescent="0.3">
      <c r="A13" t="s">
        <v>192</v>
      </c>
      <c r="B13" s="15">
        <v>45322</v>
      </c>
      <c r="C13" s="13">
        <v>0</v>
      </c>
      <c r="D13" t="s">
        <v>215</v>
      </c>
      <c r="E13" t="s">
        <v>229</v>
      </c>
      <c r="F13" t="s">
        <v>233</v>
      </c>
      <c r="G13">
        <v>5</v>
      </c>
      <c r="H13" s="10">
        <v>75000</v>
      </c>
      <c r="I13" s="10">
        <v>375000</v>
      </c>
      <c r="J13" s="10">
        <f t="shared" si="0"/>
        <v>375000</v>
      </c>
      <c r="K13" s="9" t="str">
        <f t="shared" si="1"/>
        <v>TRUE</v>
      </c>
      <c r="L13" t="s">
        <v>237</v>
      </c>
      <c r="M13" t="s">
        <v>241</v>
      </c>
    </row>
    <row r="14" spans="1:13" x14ac:dyDescent="0.3">
      <c r="A14" t="s">
        <v>170</v>
      </c>
      <c r="B14" s="15">
        <v>45323</v>
      </c>
      <c r="C14" s="13">
        <v>0</v>
      </c>
      <c r="D14" t="s">
        <v>219</v>
      </c>
      <c r="E14" t="s">
        <v>228</v>
      </c>
      <c r="F14" t="s">
        <v>233</v>
      </c>
      <c r="G14">
        <v>5</v>
      </c>
      <c r="H14" s="10">
        <v>350000</v>
      </c>
      <c r="I14" s="10">
        <v>1750000</v>
      </c>
      <c r="J14" s="10">
        <f t="shared" si="0"/>
        <v>1750000</v>
      </c>
      <c r="K14" s="9" t="str">
        <f t="shared" si="1"/>
        <v>TRUE</v>
      </c>
      <c r="L14" t="s">
        <v>235</v>
      </c>
      <c r="M14" t="s">
        <v>238</v>
      </c>
    </row>
    <row r="15" spans="1:13" x14ac:dyDescent="0.3">
      <c r="A15" t="s">
        <v>111</v>
      </c>
      <c r="B15" s="15">
        <v>45325</v>
      </c>
      <c r="C15" s="13">
        <v>0</v>
      </c>
      <c r="D15" t="s">
        <v>212</v>
      </c>
      <c r="E15" t="s">
        <v>229</v>
      </c>
      <c r="F15" t="s">
        <v>233</v>
      </c>
      <c r="G15">
        <v>3</v>
      </c>
      <c r="H15" s="10">
        <v>75000</v>
      </c>
      <c r="I15" s="10">
        <v>225000</v>
      </c>
      <c r="J15" s="10">
        <f t="shared" si="0"/>
        <v>225000</v>
      </c>
      <c r="K15" s="9" t="str">
        <f t="shared" si="1"/>
        <v>TRUE</v>
      </c>
      <c r="L15" t="s">
        <v>235</v>
      </c>
      <c r="M15" t="s">
        <v>241</v>
      </c>
    </row>
    <row r="16" spans="1:13" x14ac:dyDescent="0.3">
      <c r="A16" t="s">
        <v>50</v>
      </c>
      <c r="B16" s="15">
        <v>45327</v>
      </c>
      <c r="C16" s="13">
        <v>0</v>
      </c>
      <c r="D16" t="s">
        <v>211</v>
      </c>
      <c r="E16" t="s">
        <v>228</v>
      </c>
      <c r="F16" t="s">
        <v>233</v>
      </c>
      <c r="G16">
        <v>2</v>
      </c>
      <c r="H16" s="10">
        <v>350000</v>
      </c>
      <c r="I16" s="10">
        <v>700000</v>
      </c>
      <c r="J16" s="10">
        <f t="shared" si="0"/>
        <v>700000</v>
      </c>
      <c r="K16" s="9" t="str">
        <f t="shared" si="1"/>
        <v>TRUE</v>
      </c>
      <c r="L16" t="s">
        <v>235</v>
      </c>
      <c r="M16" t="s">
        <v>240</v>
      </c>
    </row>
    <row r="17" spans="1:13" x14ac:dyDescent="0.3">
      <c r="A17" t="s">
        <v>126</v>
      </c>
      <c r="B17" s="15">
        <v>45327</v>
      </c>
      <c r="C17" s="13">
        <v>0</v>
      </c>
      <c r="D17" t="s">
        <v>216</v>
      </c>
      <c r="E17" t="s">
        <v>228</v>
      </c>
      <c r="F17" t="s">
        <v>233</v>
      </c>
      <c r="G17">
        <v>2</v>
      </c>
      <c r="H17" s="10">
        <v>350000</v>
      </c>
      <c r="I17" s="10">
        <v>700000</v>
      </c>
      <c r="J17" s="10">
        <f t="shared" si="0"/>
        <v>700000</v>
      </c>
      <c r="K17" s="9" t="str">
        <f t="shared" si="1"/>
        <v>TRUE</v>
      </c>
      <c r="L17" t="s">
        <v>235</v>
      </c>
      <c r="M17" t="s">
        <v>241</v>
      </c>
    </row>
    <row r="18" spans="1:13" x14ac:dyDescent="0.3">
      <c r="A18" t="s">
        <v>140</v>
      </c>
      <c r="B18" s="15">
        <v>45328</v>
      </c>
      <c r="C18" s="13">
        <v>0</v>
      </c>
      <c r="D18" t="s">
        <v>216</v>
      </c>
      <c r="E18" t="s">
        <v>228</v>
      </c>
      <c r="F18" t="s">
        <v>233</v>
      </c>
      <c r="G18">
        <v>4</v>
      </c>
      <c r="H18" s="10">
        <v>350000</v>
      </c>
      <c r="I18" s="10">
        <v>1400000</v>
      </c>
      <c r="J18" s="10">
        <f t="shared" si="0"/>
        <v>1400000</v>
      </c>
      <c r="K18" s="9" t="str">
        <f t="shared" si="1"/>
        <v>TRUE</v>
      </c>
      <c r="L18" t="s">
        <v>237</v>
      </c>
      <c r="M18" t="s">
        <v>238</v>
      </c>
    </row>
    <row r="19" spans="1:13" x14ac:dyDescent="0.3">
      <c r="A19" t="s">
        <v>93</v>
      </c>
      <c r="B19" s="15">
        <v>45297</v>
      </c>
      <c r="C19" s="13">
        <v>0</v>
      </c>
      <c r="D19" t="s">
        <v>214</v>
      </c>
      <c r="E19" t="s">
        <v>223</v>
      </c>
      <c r="F19" t="s">
        <v>231</v>
      </c>
      <c r="G19">
        <v>4</v>
      </c>
      <c r="H19" s="10">
        <v>1250000</v>
      </c>
      <c r="I19" s="10">
        <v>5000000</v>
      </c>
      <c r="J19" s="10">
        <f t="shared" si="0"/>
        <v>5000000</v>
      </c>
      <c r="K19" s="9" t="str">
        <f t="shared" si="1"/>
        <v>TRUE</v>
      </c>
      <c r="L19" t="s">
        <v>236</v>
      </c>
      <c r="M19" t="s">
        <v>242</v>
      </c>
    </row>
    <row r="20" spans="1:13" x14ac:dyDescent="0.3">
      <c r="A20" t="s">
        <v>161</v>
      </c>
      <c r="B20" s="15">
        <v>45334</v>
      </c>
      <c r="C20" s="13">
        <v>0</v>
      </c>
      <c r="D20" t="s">
        <v>210</v>
      </c>
      <c r="E20" t="s">
        <v>229</v>
      </c>
      <c r="F20" t="s">
        <v>233</v>
      </c>
      <c r="G20">
        <v>4</v>
      </c>
      <c r="H20" s="10">
        <v>75000</v>
      </c>
      <c r="I20" s="10">
        <v>300000</v>
      </c>
      <c r="J20" s="10">
        <f t="shared" si="0"/>
        <v>300000</v>
      </c>
      <c r="K20" s="9" t="str">
        <f t="shared" si="1"/>
        <v>TRUE</v>
      </c>
      <c r="L20" t="s">
        <v>235</v>
      </c>
      <c r="M20" t="s">
        <v>240</v>
      </c>
    </row>
    <row r="21" spans="1:13" x14ac:dyDescent="0.3">
      <c r="A21" t="s">
        <v>108</v>
      </c>
      <c r="B21" s="15">
        <v>45335</v>
      </c>
      <c r="C21" s="13">
        <v>0</v>
      </c>
      <c r="D21" t="s">
        <v>216</v>
      </c>
      <c r="E21" t="s">
        <v>229</v>
      </c>
      <c r="F21" t="s">
        <v>233</v>
      </c>
      <c r="G21">
        <v>2</v>
      </c>
      <c r="H21" s="10">
        <v>75000</v>
      </c>
      <c r="I21" s="10">
        <v>150000</v>
      </c>
      <c r="J21" s="10">
        <f t="shared" si="0"/>
        <v>150000</v>
      </c>
      <c r="K21" s="9" t="str">
        <f t="shared" si="1"/>
        <v>TRUE</v>
      </c>
      <c r="L21" t="s">
        <v>234</v>
      </c>
      <c r="M21" t="s">
        <v>240</v>
      </c>
    </row>
    <row r="22" spans="1:13" x14ac:dyDescent="0.3">
      <c r="A22" t="s">
        <v>112</v>
      </c>
      <c r="B22" s="15">
        <v>45335</v>
      </c>
      <c r="C22" s="13">
        <v>0</v>
      </c>
      <c r="D22" t="s">
        <v>213</v>
      </c>
      <c r="E22" t="s">
        <v>229</v>
      </c>
      <c r="F22" t="s">
        <v>233</v>
      </c>
      <c r="G22">
        <v>3</v>
      </c>
      <c r="H22" s="10">
        <v>75000</v>
      </c>
      <c r="I22" s="10">
        <v>225000</v>
      </c>
      <c r="J22" s="10">
        <f t="shared" si="0"/>
        <v>225000</v>
      </c>
      <c r="K22" s="9" t="str">
        <f t="shared" si="1"/>
        <v>TRUE</v>
      </c>
      <c r="L22" t="s">
        <v>237</v>
      </c>
      <c r="M22" t="s">
        <v>239</v>
      </c>
    </row>
    <row r="23" spans="1:13" x14ac:dyDescent="0.3">
      <c r="A23" t="s">
        <v>141</v>
      </c>
      <c r="B23" s="15">
        <v>45298</v>
      </c>
      <c r="C23" s="13">
        <v>0</v>
      </c>
      <c r="D23" t="s">
        <v>211</v>
      </c>
      <c r="E23" t="s">
        <v>226</v>
      </c>
      <c r="F23" t="s">
        <v>232</v>
      </c>
      <c r="G23">
        <v>4</v>
      </c>
      <c r="H23" s="10">
        <v>25000</v>
      </c>
      <c r="I23" s="10">
        <v>100000</v>
      </c>
      <c r="J23" s="10">
        <f t="shared" si="0"/>
        <v>100000</v>
      </c>
      <c r="K23" s="9" t="str">
        <f t="shared" si="1"/>
        <v>TRUE</v>
      </c>
      <c r="L23" t="s">
        <v>236</v>
      </c>
      <c r="M23" t="s">
        <v>242</v>
      </c>
    </row>
    <row r="24" spans="1:13" x14ac:dyDescent="0.3">
      <c r="A24" t="s">
        <v>104</v>
      </c>
      <c r="B24" s="15">
        <v>45299</v>
      </c>
      <c r="C24" s="13">
        <v>0</v>
      </c>
      <c r="D24" t="s">
        <v>213</v>
      </c>
      <c r="E24" t="s">
        <v>223</v>
      </c>
      <c r="F24" t="s">
        <v>231</v>
      </c>
      <c r="G24">
        <v>4</v>
      </c>
      <c r="H24" s="10">
        <v>1250000</v>
      </c>
      <c r="I24" s="10">
        <v>5000000</v>
      </c>
      <c r="J24" s="10">
        <f t="shared" si="0"/>
        <v>5000000</v>
      </c>
      <c r="K24" s="9" t="str">
        <f t="shared" si="1"/>
        <v>TRUE</v>
      </c>
      <c r="L24" t="s">
        <v>236</v>
      </c>
      <c r="M24" t="s">
        <v>240</v>
      </c>
    </row>
    <row r="25" spans="1:13" x14ac:dyDescent="0.3">
      <c r="A25" t="s">
        <v>105</v>
      </c>
      <c r="B25" s="15">
        <v>45340</v>
      </c>
      <c r="C25" s="13">
        <v>0</v>
      </c>
      <c r="D25" t="s">
        <v>215</v>
      </c>
      <c r="E25" t="s">
        <v>228</v>
      </c>
      <c r="F25" t="s">
        <v>233</v>
      </c>
      <c r="G25">
        <v>1</v>
      </c>
      <c r="H25" s="10">
        <v>350000</v>
      </c>
      <c r="I25" s="10">
        <v>350000</v>
      </c>
      <c r="J25" s="10">
        <f t="shared" si="0"/>
        <v>350000</v>
      </c>
      <c r="K25" s="9" t="str">
        <f t="shared" si="1"/>
        <v>TRUE</v>
      </c>
      <c r="L25" t="s">
        <v>237</v>
      </c>
      <c r="M25" t="s">
        <v>242</v>
      </c>
    </row>
    <row r="26" spans="1:13" x14ac:dyDescent="0.3">
      <c r="A26" t="s">
        <v>145</v>
      </c>
      <c r="B26" s="15">
        <v>45340</v>
      </c>
      <c r="C26" s="13">
        <v>0</v>
      </c>
      <c r="D26" t="s">
        <v>210</v>
      </c>
      <c r="E26" t="s">
        <v>228</v>
      </c>
      <c r="F26" t="s">
        <v>233</v>
      </c>
      <c r="G26">
        <v>4</v>
      </c>
      <c r="H26" s="10">
        <v>350000</v>
      </c>
      <c r="I26" s="10">
        <v>1400000</v>
      </c>
      <c r="J26" s="10">
        <f t="shared" si="0"/>
        <v>1400000</v>
      </c>
      <c r="K26" s="9" t="str">
        <f t="shared" si="1"/>
        <v>TRUE</v>
      </c>
      <c r="L26" t="s">
        <v>235</v>
      </c>
      <c r="M26" t="s">
        <v>241</v>
      </c>
    </row>
    <row r="27" spans="1:13" x14ac:dyDescent="0.3">
      <c r="A27" t="s">
        <v>103</v>
      </c>
      <c r="B27" s="15">
        <v>45345</v>
      </c>
      <c r="C27" s="13">
        <v>0</v>
      </c>
      <c r="D27" t="s">
        <v>217</v>
      </c>
      <c r="E27" t="s">
        <v>229</v>
      </c>
      <c r="F27" t="s">
        <v>233</v>
      </c>
      <c r="G27">
        <v>3</v>
      </c>
      <c r="H27" s="10">
        <v>75000</v>
      </c>
      <c r="I27" s="10">
        <v>225000</v>
      </c>
      <c r="J27" s="10">
        <f t="shared" si="0"/>
        <v>225000</v>
      </c>
      <c r="K27" s="9" t="str">
        <f t="shared" si="1"/>
        <v>TRUE</v>
      </c>
      <c r="L27" t="s">
        <v>235</v>
      </c>
      <c r="M27" t="s">
        <v>242</v>
      </c>
    </row>
    <row r="28" spans="1:13" x14ac:dyDescent="0.3">
      <c r="A28" t="s">
        <v>90</v>
      </c>
      <c r="B28" s="15">
        <v>45348</v>
      </c>
      <c r="C28" s="13">
        <v>0</v>
      </c>
      <c r="D28" t="s">
        <v>217</v>
      </c>
      <c r="E28" t="s">
        <v>228</v>
      </c>
      <c r="F28" t="s">
        <v>233</v>
      </c>
      <c r="G28">
        <v>2</v>
      </c>
      <c r="H28" s="10">
        <v>350000</v>
      </c>
      <c r="I28" s="10">
        <v>700000</v>
      </c>
      <c r="J28" s="10">
        <f t="shared" si="0"/>
        <v>700000</v>
      </c>
      <c r="K28" s="9" t="str">
        <f t="shared" si="1"/>
        <v>TRUE</v>
      </c>
      <c r="L28" t="s">
        <v>235</v>
      </c>
      <c r="M28" t="s">
        <v>238</v>
      </c>
    </row>
    <row r="29" spans="1:13" x14ac:dyDescent="0.3">
      <c r="A29" t="s">
        <v>166</v>
      </c>
      <c r="B29" s="15">
        <v>45348</v>
      </c>
      <c r="C29" s="13">
        <v>0</v>
      </c>
      <c r="D29" t="s">
        <v>218</v>
      </c>
      <c r="E29" t="s">
        <v>228</v>
      </c>
      <c r="F29" t="s">
        <v>233</v>
      </c>
      <c r="G29">
        <v>1</v>
      </c>
      <c r="H29" s="10">
        <v>350000</v>
      </c>
      <c r="I29" s="10">
        <v>350000</v>
      </c>
      <c r="J29" s="10">
        <f t="shared" si="0"/>
        <v>350000</v>
      </c>
      <c r="K29" s="9" t="str">
        <f t="shared" si="1"/>
        <v>TRUE</v>
      </c>
      <c r="L29" t="s">
        <v>234</v>
      </c>
      <c r="M29" t="s">
        <v>238</v>
      </c>
    </row>
    <row r="30" spans="1:13" x14ac:dyDescent="0.3">
      <c r="A30" t="s">
        <v>51</v>
      </c>
      <c r="B30" s="15">
        <v>45304</v>
      </c>
      <c r="C30" s="13">
        <v>0</v>
      </c>
      <c r="D30" t="s">
        <v>218</v>
      </c>
      <c r="E30" t="s">
        <v>222</v>
      </c>
      <c r="F30" t="s">
        <v>230</v>
      </c>
      <c r="G30" s="7">
        <v>5</v>
      </c>
      <c r="H30" s="18">
        <v>10000000</v>
      </c>
      <c r="I30" s="18">
        <v>50010000</v>
      </c>
      <c r="J30" s="19">
        <f t="shared" si="0"/>
        <v>50000000</v>
      </c>
      <c r="K30" s="11" t="str">
        <f t="shared" si="1"/>
        <v>FALSE</v>
      </c>
      <c r="L30" t="s">
        <v>236</v>
      </c>
      <c r="M30" t="s">
        <v>238</v>
      </c>
    </row>
    <row r="31" spans="1:13" x14ac:dyDescent="0.3">
      <c r="A31" t="s">
        <v>99</v>
      </c>
      <c r="B31" s="15">
        <v>45352</v>
      </c>
      <c r="C31" s="13">
        <v>0</v>
      </c>
      <c r="D31" t="s">
        <v>212</v>
      </c>
      <c r="E31" t="s">
        <v>228</v>
      </c>
      <c r="F31" t="s">
        <v>233</v>
      </c>
      <c r="G31">
        <v>3</v>
      </c>
      <c r="H31" s="10">
        <v>350000</v>
      </c>
      <c r="I31" s="10">
        <v>1050000</v>
      </c>
      <c r="J31" s="10">
        <f t="shared" si="0"/>
        <v>1050000</v>
      </c>
      <c r="K31" s="9" t="str">
        <f t="shared" si="1"/>
        <v>TRUE</v>
      </c>
      <c r="L31" t="s">
        <v>237</v>
      </c>
      <c r="M31" t="s">
        <v>240</v>
      </c>
    </row>
    <row r="32" spans="1:13" x14ac:dyDescent="0.3">
      <c r="A32" t="s">
        <v>36</v>
      </c>
      <c r="B32" s="15">
        <v>45306</v>
      </c>
      <c r="C32" s="13">
        <v>0</v>
      </c>
      <c r="D32" t="s">
        <v>212</v>
      </c>
      <c r="E32" t="s">
        <v>224</v>
      </c>
      <c r="F32" t="s">
        <v>232</v>
      </c>
      <c r="G32">
        <v>3</v>
      </c>
      <c r="H32" s="10">
        <v>5000</v>
      </c>
      <c r="I32" s="10">
        <v>15000</v>
      </c>
      <c r="J32" s="10">
        <f t="shared" si="0"/>
        <v>15000</v>
      </c>
      <c r="K32" s="9" t="str">
        <f t="shared" si="1"/>
        <v>TRUE</v>
      </c>
      <c r="L32" t="s">
        <v>236</v>
      </c>
      <c r="M32" t="s">
        <v>238</v>
      </c>
    </row>
    <row r="33" spans="1:13" x14ac:dyDescent="0.3">
      <c r="A33" t="s">
        <v>15</v>
      </c>
      <c r="B33" s="15">
        <v>45311</v>
      </c>
      <c r="C33" s="13">
        <v>0</v>
      </c>
      <c r="D33" t="s">
        <v>211</v>
      </c>
      <c r="E33" t="s">
        <v>223</v>
      </c>
      <c r="F33" t="s">
        <v>231</v>
      </c>
      <c r="G33">
        <v>3</v>
      </c>
      <c r="H33" s="10">
        <v>1250000</v>
      </c>
      <c r="I33" s="10">
        <v>3750000</v>
      </c>
      <c r="J33" s="10">
        <f t="shared" si="0"/>
        <v>3750000</v>
      </c>
      <c r="K33" s="9" t="str">
        <f t="shared" si="1"/>
        <v>TRUE</v>
      </c>
      <c r="L33" t="s">
        <v>236</v>
      </c>
      <c r="M33" t="s">
        <v>242</v>
      </c>
    </row>
    <row r="34" spans="1:13" x14ac:dyDescent="0.3">
      <c r="A34" t="s">
        <v>186</v>
      </c>
      <c r="B34" s="15">
        <v>45359</v>
      </c>
      <c r="C34" s="13">
        <v>0</v>
      </c>
      <c r="D34" t="s">
        <v>219</v>
      </c>
      <c r="E34" t="s">
        <v>229</v>
      </c>
      <c r="F34" t="s">
        <v>233</v>
      </c>
      <c r="G34">
        <v>5</v>
      </c>
      <c r="H34" s="10">
        <v>75000</v>
      </c>
      <c r="I34" s="10">
        <v>375000</v>
      </c>
      <c r="J34" s="10">
        <f t="shared" ref="J34:J65" si="2">H34*G34</f>
        <v>375000</v>
      </c>
      <c r="K34" s="9" t="str">
        <f t="shared" ref="K34:K65" si="3">IF(J34=I34,"TRUE","FALSE")</f>
        <v>TRUE</v>
      </c>
      <c r="L34" t="s">
        <v>234</v>
      </c>
      <c r="M34" t="s">
        <v>238</v>
      </c>
    </row>
    <row r="35" spans="1:13" x14ac:dyDescent="0.3">
      <c r="A35" t="s">
        <v>70</v>
      </c>
      <c r="B35" s="15">
        <v>45312</v>
      </c>
      <c r="C35" s="13">
        <v>0</v>
      </c>
      <c r="D35" t="s">
        <v>213</v>
      </c>
      <c r="E35" t="s">
        <v>228</v>
      </c>
      <c r="F35" t="s">
        <v>233</v>
      </c>
      <c r="G35">
        <v>5</v>
      </c>
      <c r="H35" s="10">
        <v>350000</v>
      </c>
      <c r="I35" s="10">
        <v>1750000</v>
      </c>
      <c r="J35" s="10">
        <f t="shared" si="2"/>
        <v>1750000</v>
      </c>
      <c r="K35" s="9" t="str">
        <f t="shared" si="3"/>
        <v>TRUE</v>
      </c>
      <c r="L35" t="s">
        <v>236</v>
      </c>
      <c r="M35" t="s">
        <v>239</v>
      </c>
    </row>
    <row r="36" spans="1:13" x14ac:dyDescent="0.3">
      <c r="A36" t="s">
        <v>110</v>
      </c>
      <c r="B36" s="15">
        <v>45374</v>
      </c>
      <c r="C36" s="13">
        <v>0</v>
      </c>
      <c r="D36" t="s">
        <v>216</v>
      </c>
      <c r="E36" t="s">
        <v>229</v>
      </c>
      <c r="F36" t="s">
        <v>233</v>
      </c>
      <c r="G36">
        <v>2</v>
      </c>
      <c r="H36" s="10">
        <v>75000</v>
      </c>
      <c r="I36" s="10">
        <v>150000</v>
      </c>
      <c r="J36" s="10">
        <f t="shared" si="2"/>
        <v>150000</v>
      </c>
      <c r="K36" s="9" t="str">
        <f t="shared" si="3"/>
        <v>TRUE</v>
      </c>
      <c r="L36" t="s">
        <v>234</v>
      </c>
      <c r="M36" t="s">
        <v>239</v>
      </c>
    </row>
    <row r="37" spans="1:13" x14ac:dyDescent="0.3">
      <c r="A37" t="s">
        <v>25</v>
      </c>
      <c r="B37" s="15">
        <v>45375</v>
      </c>
      <c r="C37" s="13">
        <v>0</v>
      </c>
      <c r="D37" t="s">
        <v>216</v>
      </c>
      <c r="E37" t="s">
        <v>228</v>
      </c>
      <c r="F37" t="s">
        <v>233</v>
      </c>
      <c r="G37">
        <v>4</v>
      </c>
      <c r="H37" s="10">
        <v>350000</v>
      </c>
      <c r="I37" s="10">
        <v>1400000</v>
      </c>
      <c r="J37" s="10">
        <f t="shared" si="2"/>
        <v>1400000</v>
      </c>
      <c r="K37" s="9" t="str">
        <f t="shared" si="3"/>
        <v>TRUE</v>
      </c>
      <c r="L37" t="s">
        <v>234</v>
      </c>
      <c r="M37" t="s">
        <v>241</v>
      </c>
    </row>
    <row r="38" spans="1:13" x14ac:dyDescent="0.3">
      <c r="A38" t="s">
        <v>148</v>
      </c>
      <c r="B38" s="15">
        <v>45314</v>
      </c>
      <c r="C38" s="13">
        <v>0</v>
      </c>
      <c r="D38" t="s">
        <v>219</v>
      </c>
      <c r="E38" t="s">
        <v>221</v>
      </c>
      <c r="F38" t="s">
        <v>230</v>
      </c>
      <c r="G38">
        <v>1</v>
      </c>
      <c r="H38" s="10">
        <v>2500000</v>
      </c>
      <c r="I38" s="10">
        <v>2500000</v>
      </c>
      <c r="J38" s="10">
        <f t="shared" si="2"/>
        <v>2500000</v>
      </c>
      <c r="K38" s="9" t="str">
        <f t="shared" si="3"/>
        <v>TRUE</v>
      </c>
      <c r="L38" t="s">
        <v>236</v>
      </c>
      <c r="M38" t="s">
        <v>242</v>
      </c>
    </row>
    <row r="39" spans="1:13" x14ac:dyDescent="0.3">
      <c r="A39" t="s">
        <v>81</v>
      </c>
      <c r="B39" s="15">
        <v>45314</v>
      </c>
      <c r="C39" s="13">
        <v>0</v>
      </c>
      <c r="D39" t="s">
        <v>218</v>
      </c>
      <c r="E39" t="s">
        <v>225</v>
      </c>
      <c r="F39" t="s">
        <v>231</v>
      </c>
      <c r="G39">
        <v>3</v>
      </c>
      <c r="H39" s="10">
        <v>350000</v>
      </c>
      <c r="I39" s="10">
        <v>1050000</v>
      </c>
      <c r="J39" s="10">
        <f t="shared" si="2"/>
        <v>1050000</v>
      </c>
      <c r="K39" s="9" t="str">
        <f t="shared" si="3"/>
        <v>TRUE</v>
      </c>
      <c r="L39" t="s">
        <v>236</v>
      </c>
      <c r="M39" t="s">
        <v>240</v>
      </c>
    </row>
    <row r="40" spans="1:13" x14ac:dyDescent="0.3">
      <c r="A40" t="s">
        <v>31</v>
      </c>
      <c r="B40" s="15">
        <v>45293</v>
      </c>
      <c r="C40" s="13">
        <v>0</v>
      </c>
      <c r="D40" t="s">
        <v>210</v>
      </c>
      <c r="E40" t="s">
        <v>220</v>
      </c>
      <c r="F40" t="s">
        <v>230</v>
      </c>
      <c r="G40">
        <v>5</v>
      </c>
      <c r="H40" s="10">
        <v>150000</v>
      </c>
      <c r="I40" s="10">
        <v>750000</v>
      </c>
      <c r="J40" s="10">
        <f t="shared" si="2"/>
        <v>750000</v>
      </c>
      <c r="K40" s="9" t="str">
        <f t="shared" si="3"/>
        <v>TRUE</v>
      </c>
      <c r="L40" t="s">
        <v>237</v>
      </c>
      <c r="M40" t="s">
        <v>239</v>
      </c>
    </row>
    <row r="41" spans="1:13" x14ac:dyDescent="0.3">
      <c r="A41" t="s">
        <v>129</v>
      </c>
      <c r="B41" s="15">
        <v>45293</v>
      </c>
      <c r="C41" s="13">
        <v>0</v>
      </c>
      <c r="D41" t="s">
        <v>211</v>
      </c>
      <c r="E41" t="s">
        <v>221</v>
      </c>
      <c r="F41" t="s">
        <v>230</v>
      </c>
      <c r="G41">
        <v>2</v>
      </c>
      <c r="H41" s="10">
        <v>2500000</v>
      </c>
      <c r="I41" s="10">
        <v>5000000</v>
      </c>
      <c r="J41" s="10">
        <f t="shared" si="2"/>
        <v>5000000</v>
      </c>
      <c r="K41" s="9" t="str">
        <f t="shared" si="3"/>
        <v>TRUE</v>
      </c>
      <c r="L41" t="s">
        <v>234</v>
      </c>
      <c r="M41" t="s">
        <v>242</v>
      </c>
    </row>
    <row r="42" spans="1:13" x14ac:dyDescent="0.3">
      <c r="A42" t="s">
        <v>131</v>
      </c>
      <c r="B42" s="15">
        <v>45294</v>
      </c>
      <c r="C42" s="13">
        <v>0</v>
      </c>
      <c r="D42" t="s">
        <v>212</v>
      </c>
      <c r="E42" t="s">
        <v>220</v>
      </c>
      <c r="F42" t="s">
        <v>230</v>
      </c>
      <c r="G42">
        <v>3</v>
      </c>
      <c r="H42" s="10">
        <v>150000</v>
      </c>
      <c r="I42" s="10">
        <v>450000</v>
      </c>
      <c r="J42" s="10">
        <f t="shared" si="2"/>
        <v>450000</v>
      </c>
      <c r="K42" s="9" t="str">
        <f t="shared" si="3"/>
        <v>TRUE</v>
      </c>
      <c r="L42" t="s">
        <v>235</v>
      </c>
      <c r="M42" t="s">
        <v>238</v>
      </c>
    </row>
    <row r="43" spans="1:13" x14ac:dyDescent="0.3">
      <c r="A43" t="s">
        <v>159</v>
      </c>
      <c r="B43" s="15">
        <v>45315</v>
      </c>
      <c r="C43" s="13">
        <v>0</v>
      </c>
      <c r="D43" t="s">
        <v>216</v>
      </c>
      <c r="E43" t="s">
        <v>225</v>
      </c>
      <c r="F43" t="s">
        <v>231</v>
      </c>
      <c r="G43">
        <v>4</v>
      </c>
      <c r="H43" s="10">
        <v>350000</v>
      </c>
      <c r="I43" s="10">
        <v>1400000</v>
      </c>
      <c r="J43" s="10">
        <f t="shared" si="2"/>
        <v>1400000</v>
      </c>
      <c r="K43" s="9" t="str">
        <f t="shared" si="3"/>
        <v>TRUE</v>
      </c>
      <c r="L43" t="s">
        <v>236</v>
      </c>
      <c r="M43" t="s">
        <v>242</v>
      </c>
    </row>
    <row r="44" spans="1:13" x14ac:dyDescent="0.3">
      <c r="A44" t="s">
        <v>158</v>
      </c>
      <c r="B44" s="15">
        <v>45297</v>
      </c>
      <c r="C44" s="13">
        <v>0</v>
      </c>
      <c r="D44" t="s">
        <v>217</v>
      </c>
      <c r="E44" t="s">
        <v>227</v>
      </c>
      <c r="F44" t="s">
        <v>230</v>
      </c>
      <c r="G44">
        <v>4</v>
      </c>
      <c r="H44" s="10">
        <v>300000</v>
      </c>
      <c r="I44" s="10">
        <v>1200000</v>
      </c>
      <c r="J44" s="10">
        <f t="shared" si="2"/>
        <v>1200000</v>
      </c>
      <c r="K44" s="9" t="str">
        <f t="shared" si="3"/>
        <v>TRUE</v>
      </c>
      <c r="L44" t="s">
        <v>235</v>
      </c>
      <c r="M44" t="s">
        <v>241</v>
      </c>
    </row>
    <row r="45" spans="1:13" x14ac:dyDescent="0.3">
      <c r="A45" t="s">
        <v>53</v>
      </c>
      <c r="B45" s="15">
        <v>45299</v>
      </c>
      <c r="C45" s="13">
        <v>0</v>
      </c>
      <c r="D45" t="s">
        <v>218</v>
      </c>
      <c r="E45" t="s">
        <v>227</v>
      </c>
      <c r="F45" t="s">
        <v>230</v>
      </c>
      <c r="G45">
        <v>4</v>
      </c>
      <c r="H45" s="10">
        <v>300000</v>
      </c>
      <c r="I45" s="10">
        <v>1200000</v>
      </c>
      <c r="J45" s="10">
        <f t="shared" si="2"/>
        <v>1200000</v>
      </c>
      <c r="K45" s="9" t="str">
        <f t="shared" si="3"/>
        <v>TRUE</v>
      </c>
      <c r="L45" t="s">
        <v>235</v>
      </c>
      <c r="M45" t="s">
        <v>241</v>
      </c>
    </row>
    <row r="46" spans="1:13" x14ac:dyDescent="0.3">
      <c r="A46" t="s">
        <v>56</v>
      </c>
      <c r="B46" s="15">
        <v>45299</v>
      </c>
      <c r="C46" s="13">
        <v>0</v>
      </c>
      <c r="D46" t="s">
        <v>216</v>
      </c>
      <c r="E46" t="s">
        <v>222</v>
      </c>
      <c r="F46" t="s">
        <v>230</v>
      </c>
      <c r="G46">
        <v>5</v>
      </c>
      <c r="H46" s="10">
        <v>10000000</v>
      </c>
      <c r="I46" s="10">
        <v>50000000</v>
      </c>
      <c r="J46" s="10">
        <f t="shared" si="2"/>
        <v>50000000</v>
      </c>
      <c r="K46" s="9" t="str">
        <f t="shared" si="3"/>
        <v>TRUE</v>
      </c>
      <c r="L46" t="s">
        <v>234</v>
      </c>
      <c r="M46" t="s">
        <v>239</v>
      </c>
    </row>
    <row r="47" spans="1:13" x14ac:dyDescent="0.3">
      <c r="A47" t="s">
        <v>44</v>
      </c>
      <c r="B47" s="15">
        <v>45301</v>
      </c>
      <c r="C47" s="13">
        <v>0</v>
      </c>
      <c r="D47" t="s">
        <v>210</v>
      </c>
      <c r="E47" t="s">
        <v>221</v>
      </c>
      <c r="F47" t="s">
        <v>230</v>
      </c>
      <c r="G47">
        <v>2</v>
      </c>
      <c r="H47" s="10">
        <v>2500000</v>
      </c>
      <c r="I47" s="10">
        <v>5000000</v>
      </c>
      <c r="J47" s="10">
        <f t="shared" si="2"/>
        <v>5000000</v>
      </c>
      <c r="K47" s="9" t="str">
        <f t="shared" si="3"/>
        <v>TRUE</v>
      </c>
      <c r="L47" t="s">
        <v>235</v>
      </c>
      <c r="M47" t="s">
        <v>238</v>
      </c>
    </row>
    <row r="48" spans="1:13" x14ac:dyDescent="0.3">
      <c r="A48" t="s">
        <v>71</v>
      </c>
      <c r="B48" s="15">
        <v>45301</v>
      </c>
      <c r="C48" s="13">
        <v>0</v>
      </c>
      <c r="D48" t="s">
        <v>218</v>
      </c>
      <c r="E48" t="s">
        <v>227</v>
      </c>
      <c r="F48" t="s">
        <v>230</v>
      </c>
      <c r="G48">
        <v>5</v>
      </c>
      <c r="H48" s="10">
        <v>300000</v>
      </c>
      <c r="I48" s="10">
        <v>1500000</v>
      </c>
      <c r="J48" s="10">
        <f t="shared" si="2"/>
        <v>1500000</v>
      </c>
      <c r="K48" s="9" t="str">
        <f t="shared" si="3"/>
        <v>TRUE</v>
      </c>
      <c r="L48" t="s">
        <v>237</v>
      </c>
      <c r="M48" t="s">
        <v>240</v>
      </c>
    </row>
    <row r="49" spans="1:13" x14ac:dyDescent="0.3">
      <c r="A49" t="s">
        <v>55</v>
      </c>
      <c r="B49" s="15">
        <v>45316</v>
      </c>
      <c r="C49" s="13">
        <v>0</v>
      </c>
      <c r="D49" t="s">
        <v>218</v>
      </c>
      <c r="E49" t="s">
        <v>226</v>
      </c>
      <c r="F49" t="s">
        <v>232</v>
      </c>
      <c r="G49">
        <v>2</v>
      </c>
      <c r="H49" s="10">
        <v>25000</v>
      </c>
      <c r="I49" s="10">
        <v>50000</v>
      </c>
      <c r="J49" s="10">
        <f t="shared" si="2"/>
        <v>50000</v>
      </c>
      <c r="K49" s="9" t="str">
        <f t="shared" si="3"/>
        <v>TRUE</v>
      </c>
      <c r="L49" t="s">
        <v>236</v>
      </c>
      <c r="M49" t="s">
        <v>241</v>
      </c>
    </row>
    <row r="50" spans="1:13" x14ac:dyDescent="0.3">
      <c r="A50" t="s">
        <v>38</v>
      </c>
      <c r="B50" s="15">
        <v>45308</v>
      </c>
      <c r="C50" s="13">
        <v>0</v>
      </c>
      <c r="D50" t="s">
        <v>217</v>
      </c>
      <c r="E50" t="s">
        <v>227</v>
      </c>
      <c r="F50" t="s">
        <v>230</v>
      </c>
      <c r="G50">
        <v>4</v>
      </c>
      <c r="H50" s="10">
        <v>300000</v>
      </c>
      <c r="I50" s="10">
        <v>1200000</v>
      </c>
      <c r="J50" s="10">
        <f t="shared" si="2"/>
        <v>1200000</v>
      </c>
      <c r="K50" s="9" t="str">
        <f t="shared" si="3"/>
        <v>TRUE</v>
      </c>
      <c r="L50" t="s">
        <v>234</v>
      </c>
      <c r="M50" t="s">
        <v>241</v>
      </c>
    </row>
    <row r="51" spans="1:13" x14ac:dyDescent="0.3">
      <c r="A51" t="s">
        <v>11</v>
      </c>
      <c r="B51" s="15">
        <v>45309</v>
      </c>
      <c r="C51" s="13">
        <v>0</v>
      </c>
      <c r="D51" t="s">
        <v>211</v>
      </c>
      <c r="E51" t="s">
        <v>220</v>
      </c>
      <c r="F51" t="s">
        <v>230</v>
      </c>
      <c r="G51">
        <v>5</v>
      </c>
      <c r="H51" s="10">
        <v>150000</v>
      </c>
      <c r="I51" s="10">
        <v>750000</v>
      </c>
      <c r="J51" s="10">
        <f t="shared" si="2"/>
        <v>750000</v>
      </c>
      <c r="K51" s="9" t="str">
        <f t="shared" si="3"/>
        <v>TRUE</v>
      </c>
      <c r="L51" t="s">
        <v>235</v>
      </c>
      <c r="M51" t="s">
        <v>239</v>
      </c>
    </row>
    <row r="52" spans="1:13" x14ac:dyDescent="0.3">
      <c r="A52" t="s">
        <v>206</v>
      </c>
      <c r="B52" s="15">
        <v>45309</v>
      </c>
      <c r="C52" s="13">
        <v>0</v>
      </c>
      <c r="D52" t="s">
        <v>210</v>
      </c>
      <c r="E52" t="s">
        <v>222</v>
      </c>
      <c r="F52" t="s">
        <v>230</v>
      </c>
      <c r="G52">
        <v>1</v>
      </c>
      <c r="H52" s="10">
        <v>10000000</v>
      </c>
      <c r="I52" s="10">
        <v>10000000</v>
      </c>
      <c r="J52" s="10">
        <f t="shared" si="2"/>
        <v>10000000</v>
      </c>
      <c r="K52" s="9" t="str">
        <f t="shared" si="3"/>
        <v>TRUE</v>
      </c>
      <c r="L52" t="s">
        <v>235</v>
      </c>
      <c r="M52" t="s">
        <v>239</v>
      </c>
    </row>
    <row r="53" spans="1:13" x14ac:dyDescent="0.3">
      <c r="A53" t="s">
        <v>75</v>
      </c>
      <c r="B53" s="15">
        <v>45312</v>
      </c>
      <c r="C53" s="13">
        <v>0</v>
      </c>
      <c r="D53" t="s">
        <v>218</v>
      </c>
      <c r="E53" t="s">
        <v>227</v>
      </c>
      <c r="F53" t="s">
        <v>230</v>
      </c>
      <c r="G53">
        <v>4</v>
      </c>
      <c r="H53" s="10">
        <v>300000</v>
      </c>
      <c r="I53" s="10">
        <v>1200000</v>
      </c>
      <c r="J53" s="10">
        <f t="shared" si="2"/>
        <v>1200000</v>
      </c>
      <c r="K53" s="9" t="str">
        <f t="shared" si="3"/>
        <v>TRUE</v>
      </c>
      <c r="L53" t="s">
        <v>234</v>
      </c>
      <c r="M53" t="s">
        <v>241</v>
      </c>
    </row>
    <row r="54" spans="1:13" x14ac:dyDescent="0.3">
      <c r="A54" t="s">
        <v>96</v>
      </c>
      <c r="B54" s="15">
        <v>45314</v>
      </c>
      <c r="C54" s="13">
        <v>0</v>
      </c>
      <c r="D54" t="s">
        <v>218</v>
      </c>
      <c r="E54" t="s">
        <v>221</v>
      </c>
      <c r="F54" t="s">
        <v>230</v>
      </c>
      <c r="G54">
        <v>4</v>
      </c>
      <c r="H54" s="10">
        <v>2500000</v>
      </c>
      <c r="I54" s="10">
        <v>10000000</v>
      </c>
      <c r="J54" s="10">
        <f t="shared" si="2"/>
        <v>10000000</v>
      </c>
      <c r="K54" s="9" t="str">
        <f t="shared" si="3"/>
        <v>TRUE</v>
      </c>
      <c r="L54" t="s">
        <v>234</v>
      </c>
      <c r="M54" t="s">
        <v>239</v>
      </c>
    </row>
    <row r="55" spans="1:13" x14ac:dyDescent="0.3">
      <c r="A55" t="s">
        <v>152</v>
      </c>
      <c r="B55" s="15">
        <v>45320</v>
      </c>
      <c r="C55" s="13">
        <v>0</v>
      </c>
      <c r="D55" t="s">
        <v>219</v>
      </c>
      <c r="E55" t="s">
        <v>227</v>
      </c>
      <c r="F55" t="s">
        <v>230</v>
      </c>
      <c r="G55">
        <v>3</v>
      </c>
      <c r="H55" s="10">
        <v>300000</v>
      </c>
      <c r="I55" s="10">
        <v>900000</v>
      </c>
      <c r="J55" s="10">
        <f t="shared" si="2"/>
        <v>900000</v>
      </c>
      <c r="K55" s="9" t="str">
        <f t="shared" si="3"/>
        <v>TRUE</v>
      </c>
      <c r="L55" t="s">
        <v>236</v>
      </c>
      <c r="M55" t="s">
        <v>239</v>
      </c>
    </row>
    <row r="56" spans="1:13" x14ac:dyDescent="0.3">
      <c r="A56" t="s">
        <v>49</v>
      </c>
      <c r="B56" s="15">
        <v>45316</v>
      </c>
      <c r="C56" s="13">
        <v>0</v>
      </c>
      <c r="D56" t="s">
        <v>219</v>
      </c>
      <c r="E56" t="s">
        <v>221</v>
      </c>
      <c r="F56" t="s">
        <v>230</v>
      </c>
      <c r="G56">
        <v>4</v>
      </c>
      <c r="H56" s="10">
        <v>2500000</v>
      </c>
      <c r="I56" s="10">
        <v>10000000</v>
      </c>
      <c r="J56" s="10">
        <f t="shared" si="2"/>
        <v>10000000</v>
      </c>
      <c r="K56" s="9" t="str">
        <f t="shared" si="3"/>
        <v>TRUE</v>
      </c>
      <c r="L56" t="s">
        <v>235</v>
      </c>
      <c r="M56" t="s">
        <v>238</v>
      </c>
    </row>
    <row r="57" spans="1:13" x14ac:dyDescent="0.3">
      <c r="A57" t="s">
        <v>13</v>
      </c>
      <c r="B57" s="15">
        <v>45317</v>
      </c>
      <c r="C57" s="13">
        <v>0</v>
      </c>
      <c r="D57" t="s">
        <v>212</v>
      </c>
      <c r="E57" t="s">
        <v>221</v>
      </c>
      <c r="F57" t="s">
        <v>230</v>
      </c>
      <c r="G57">
        <v>4</v>
      </c>
      <c r="H57" s="10">
        <v>2500000</v>
      </c>
      <c r="I57" s="10">
        <v>10000000</v>
      </c>
      <c r="J57" s="10">
        <f t="shared" si="2"/>
        <v>10000000</v>
      </c>
      <c r="K57" s="9" t="str">
        <f t="shared" si="3"/>
        <v>TRUE</v>
      </c>
      <c r="L57" t="s">
        <v>235</v>
      </c>
      <c r="M57" t="s">
        <v>240</v>
      </c>
    </row>
    <row r="58" spans="1:13" x14ac:dyDescent="0.3">
      <c r="A58" t="s">
        <v>63</v>
      </c>
      <c r="B58" s="15">
        <v>45319</v>
      </c>
      <c r="C58" s="13">
        <v>0</v>
      </c>
      <c r="D58" t="s">
        <v>219</v>
      </c>
      <c r="E58" t="s">
        <v>221</v>
      </c>
      <c r="F58" t="s">
        <v>230</v>
      </c>
      <c r="G58">
        <v>3</v>
      </c>
      <c r="H58" s="10">
        <v>2500000</v>
      </c>
      <c r="I58" s="10">
        <v>7500000</v>
      </c>
      <c r="J58" s="10">
        <f t="shared" si="2"/>
        <v>7500000</v>
      </c>
      <c r="K58" s="9" t="str">
        <f t="shared" si="3"/>
        <v>TRUE</v>
      </c>
      <c r="L58" t="s">
        <v>237</v>
      </c>
      <c r="M58" t="s">
        <v>239</v>
      </c>
    </row>
    <row r="59" spans="1:13" x14ac:dyDescent="0.3">
      <c r="A59" t="s">
        <v>23</v>
      </c>
      <c r="B59" s="15">
        <v>45320</v>
      </c>
      <c r="C59" s="13">
        <v>0</v>
      </c>
      <c r="D59" t="s">
        <v>212</v>
      </c>
      <c r="E59" t="s">
        <v>224</v>
      </c>
      <c r="F59" t="s">
        <v>232</v>
      </c>
      <c r="G59">
        <v>1</v>
      </c>
      <c r="H59" s="10">
        <v>5000</v>
      </c>
      <c r="I59" s="10">
        <v>5000</v>
      </c>
      <c r="J59" s="10">
        <f t="shared" si="2"/>
        <v>5000</v>
      </c>
      <c r="K59" s="9" t="str">
        <f t="shared" si="3"/>
        <v>TRUE</v>
      </c>
      <c r="L59" t="s">
        <v>236</v>
      </c>
      <c r="M59" t="s">
        <v>241</v>
      </c>
    </row>
    <row r="60" spans="1:13" x14ac:dyDescent="0.3">
      <c r="A60" t="s">
        <v>168</v>
      </c>
      <c r="B60" s="15">
        <v>45320</v>
      </c>
      <c r="C60" s="13">
        <v>0</v>
      </c>
      <c r="D60" t="s">
        <v>211</v>
      </c>
      <c r="E60" t="s">
        <v>220</v>
      </c>
      <c r="F60" t="s">
        <v>230</v>
      </c>
      <c r="G60">
        <v>4</v>
      </c>
      <c r="H60" s="10">
        <v>150000</v>
      </c>
      <c r="I60" s="10">
        <v>600000</v>
      </c>
      <c r="J60" s="10">
        <f t="shared" si="2"/>
        <v>600000</v>
      </c>
      <c r="K60" s="9" t="str">
        <f t="shared" si="3"/>
        <v>TRUE</v>
      </c>
      <c r="L60" t="s">
        <v>234</v>
      </c>
      <c r="M60" t="s">
        <v>242</v>
      </c>
    </row>
    <row r="61" spans="1:13" x14ac:dyDescent="0.3">
      <c r="A61" t="s">
        <v>205</v>
      </c>
      <c r="B61" s="15">
        <v>45320</v>
      </c>
      <c r="C61" s="13">
        <v>0</v>
      </c>
      <c r="D61" t="s">
        <v>210</v>
      </c>
      <c r="E61" t="s">
        <v>220</v>
      </c>
      <c r="F61" t="s">
        <v>230</v>
      </c>
      <c r="G61">
        <v>4</v>
      </c>
      <c r="H61" s="10">
        <v>150000</v>
      </c>
      <c r="I61" s="10">
        <v>600000</v>
      </c>
      <c r="J61" s="10">
        <f t="shared" si="2"/>
        <v>600000</v>
      </c>
      <c r="K61" s="9" t="str">
        <f t="shared" si="3"/>
        <v>TRUE</v>
      </c>
      <c r="L61" t="s">
        <v>235</v>
      </c>
      <c r="M61" t="s">
        <v>239</v>
      </c>
    </row>
    <row r="62" spans="1:13" x14ac:dyDescent="0.3">
      <c r="A62" t="s">
        <v>22</v>
      </c>
      <c r="B62" s="15">
        <v>45323</v>
      </c>
      <c r="C62" s="13">
        <v>0</v>
      </c>
      <c r="D62" t="s">
        <v>213</v>
      </c>
      <c r="E62" t="s">
        <v>227</v>
      </c>
      <c r="F62" t="s">
        <v>230</v>
      </c>
      <c r="G62">
        <v>4</v>
      </c>
      <c r="H62" s="10">
        <v>300000</v>
      </c>
      <c r="I62" s="10">
        <v>1200000</v>
      </c>
      <c r="J62" s="10">
        <f t="shared" si="2"/>
        <v>1200000</v>
      </c>
      <c r="K62" s="9" t="str">
        <f t="shared" si="3"/>
        <v>TRUE</v>
      </c>
      <c r="L62" t="s">
        <v>237</v>
      </c>
      <c r="M62" t="s">
        <v>240</v>
      </c>
    </row>
    <row r="63" spans="1:13" x14ac:dyDescent="0.3">
      <c r="A63" t="s">
        <v>95</v>
      </c>
      <c r="B63" s="15">
        <v>45323</v>
      </c>
      <c r="C63" s="13">
        <v>0</v>
      </c>
      <c r="D63" t="s">
        <v>211</v>
      </c>
      <c r="E63" t="s">
        <v>227</v>
      </c>
      <c r="F63" t="s">
        <v>230</v>
      </c>
      <c r="G63">
        <v>1</v>
      </c>
      <c r="H63" s="10">
        <v>300000</v>
      </c>
      <c r="I63" s="10">
        <v>300000</v>
      </c>
      <c r="J63" s="10">
        <f t="shared" si="2"/>
        <v>300000</v>
      </c>
      <c r="K63" s="9" t="str">
        <f t="shared" si="3"/>
        <v>TRUE</v>
      </c>
      <c r="L63" t="s">
        <v>235</v>
      </c>
      <c r="M63" t="s">
        <v>238</v>
      </c>
    </row>
    <row r="64" spans="1:13" x14ac:dyDescent="0.3">
      <c r="A64" t="s">
        <v>189</v>
      </c>
      <c r="B64" s="15">
        <v>45324</v>
      </c>
      <c r="C64" s="13">
        <v>0</v>
      </c>
      <c r="D64" t="s">
        <v>210</v>
      </c>
      <c r="E64" t="s">
        <v>222</v>
      </c>
      <c r="F64" t="s">
        <v>230</v>
      </c>
      <c r="G64">
        <v>4</v>
      </c>
      <c r="H64" s="10">
        <v>10000000</v>
      </c>
      <c r="I64" s="10">
        <v>40000000</v>
      </c>
      <c r="J64" s="10">
        <f t="shared" si="2"/>
        <v>40000000</v>
      </c>
      <c r="K64" s="9" t="str">
        <f t="shared" si="3"/>
        <v>TRUE</v>
      </c>
      <c r="L64" t="s">
        <v>234</v>
      </c>
      <c r="M64" t="s">
        <v>239</v>
      </c>
    </row>
    <row r="65" spans="1:13" x14ac:dyDescent="0.3">
      <c r="A65" t="s">
        <v>14</v>
      </c>
      <c r="B65" s="15">
        <v>45327</v>
      </c>
      <c r="C65" s="13">
        <v>0</v>
      </c>
      <c r="D65" t="s">
        <v>213</v>
      </c>
      <c r="E65" t="s">
        <v>222</v>
      </c>
      <c r="F65" t="s">
        <v>230</v>
      </c>
      <c r="G65">
        <v>2</v>
      </c>
      <c r="H65" s="10">
        <v>10000000</v>
      </c>
      <c r="I65" s="10">
        <v>20000000</v>
      </c>
      <c r="J65" s="10">
        <f t="shared" si="2"/>
        <v>20000000</v>
      </c>
      <c r="K65" s="9" t="str">
        <f t="shared" si="3"/>
        <v>TRUE</v>
      </c>
      <c r="L65" t="s">
        <v>237</v>
      </c>
      <c r="M65" t="s">
        <v>241</v>
      </c>
    </row>
    <row r="66" spans="1:13" x14ac:dyDescent="0.3">
      <c r="A66" t="s">
        <v>69</v>
      </c>
      <c r="B66" s="15">
        <v>45327</v>
      </c>
      <c r="C66" s="13">
        <v>0</v>
      </c>
      <c r="D66" t="s">
        <v>215</v>
      </c>
      <c r="E66" t="s">
        <v>222</v>
      </c>
      <c r="F66" t="s">
        <v>230</v>
      </c>
      <c r="G66">
        <v>1</v>
      </c>
      <c r="H66" s="10">
        <v>10000000</v>
      </c>
      <c r="I66" s="10">
        <v>10000000</v>
      </c>
      <c r="J66" s="10">
        <f t="shared" ref="J66:J97" si="4">H66*G66</f>
        <v>10000000</v>
      </c>
      <c r="K66" s="9" t="str">
        <f t="shared" ref="K66:K97" si="5">IF(J66=I66,"TRUE","FALSE")</f>
        <v>TRUE</v>
      </c>
      <c r="L66" t="s">
        <v>234</v>
      </c>
      <c r="M66" t="s">
        <v>241</v>
      </c>
    </row>
    <row r="67" spans="1:13" x14ac:dyDescent="0.3">
      <c r="A67" t="s">
        <v>107</v>
      </c>
      <c r="B67" s="15">
        <v>45320</v>
      </c>
      <c r="C67" s="13">
        <v>0</v>
      </c>
      <c r="D67" t="s">
        <v>216</v>
      </c>
      <c r="E67" t="s">
        <v>226</v>
      </c>
      <c r="F67" t="s">
        <v>232</v>
      </c>
      <c r="G67">
        <v>4</v>
      </c>
      <c r="H67" s="10">
        <v>25000</v>
      </c>
      <c r="I67" s="10">
        <v>100000</v>
      </c>
      <c r="J67" s="10">
        <f t="shared" si="4"/>
        <v>100000</v>
      </c>
      <c r="K67" s="9" t="str">
        <f t="shared" si="5"/>
        <v>TRUE</v>
      </c>
      <c r="L67" t="s">
        <v>236</v>
      </c>
      <c r="M67" t="s">
        <v>242</v>
      </c>
    </row>
    <row r="68" spans="1:13" x14ac:dyDescent="0.3">
      <c r="A68" t="s">
        <v>169</v>
      </c>
      <c r="B68" s="15">
        <v>45329</v>
      </c>
      <c r="C68" s="13">
        <v>0</v>
      </c>
      <c r="D68" t="s">
        <v>213</v>
      </c>
      <c r="E68" t="s">
        <v>221</v>
      </c>
      <c r="F68" t="s">
        <v>230</v>
      </c>
      <c r="G68">
        <v>3</v>
      </c>
      <c r="H68" s="10">
        <v>2500000</v>
      </c>
      <c r="I68" s="10">
        <v>7500000</v>
      </c>
      <c r="J68" s="10">
        <f t="shared" si="4"/>
        <v>7500000</v>
      </c>
      <c r="K68" s="9" t="str">
        <f t="shared" si="5"/>
        <v>TRUE</v>
      </c>
      <c r="L68" t="s">
        <v>235</v>
      </c>
      <c r="M68" t="s">
        <v>242</v>
      </c>
    </row>
    <row r="69" spans="1:13" x14ac:dyDescent="0.3">
      <c r="A69" t="s">
        <v>118</v>
      </c>
      <c r="B69" s="15">
        <v>45331</v>
      </c>
      <c r="C69" s="13">
        <v>0</v>
      </c>
      <c r="D69" t="s">
        <v>218</v>
      </c>
      <c r="E69" t="s">
        <v>220</v>
      </c>
      <c r="F69" t="s">
        <v>230</v>
      </c>
      <c r="G69">
        <v>5</v>
      </c>
      <c r="H69" s="10">
        <v>150000</v>
      </c>
      <c r="I69" s="10">
        <v>750000</v>
      </c>
      <c r="J69" s="10">
        <f t="shared" si="4"/>
        <v>750000</v>
      </c>
      <c r="K69" s="9" t="str">
        <f t="shared" si="5"/>
        <v>TRUE</v>
      </c>
      <c r="L69" t="s">
        <v>237</v>
      </c>
      <c r="M69" t="s">
        <v>240</v>
      </c>
    </row>
    <row r="70" spans="1:13" x14ac:dyDescent="0.3">
      <c r="A70" t="s">
        <v>167</v>
      </c>
      <c r="B70" s="15">
        <v>45331</v>
      </c>
      <c r="C70" s="13">
        <v>0</v>
      </c>
      <c r="D70" t="s">
        <v>217</v>
      </c>
      <c r="E70" t="s">
        <v>221</v>
      </c>
      <c r="F70" t="s">
        <v>230</v>
      </c>
      <c r="G70">
        <v>1</v>
      </c>
      <c r="H70" s="10">
        <v>2500000</v>
      </c>
      <c r="I70" s="10">
        <v>2500000</v>
      </c>
      <c r="J70" s="10">
        <f t="shared" si="4"/>
        <v>2500000</v>
      </c>
      <c r="K70" s="9" t="str">
        <f t="shared" si="5"/>
        <v>TRUE</v>
      </c>
      <c r="L70" t="s">
        <v>235</v>
      </c>
      <c r="M70" t="s">
        <v>239</v>
      </c>
    </row>
    <row r="71" spans="1:13" x14ac:dyDescent="0.3">
      <c r="A71" t="s">
        <v>181</v>
      </c>
      <c r="B71" s="15">
        <v>45334</v>
      </c>
      <c r="C71" s="13">
        <v>0</v>
      </c>
      <c r="D71" t="s">
        <v>215</v>
      </c>
      <c r="E71" t="s">
        <v>221</v>
      </c>
      <c r="F71" t="s">
        <v>230</v>
      </c>
      <c r="G71">
        <v>4</v>
      </c>
      <c r="H71" s="10">
        <v>2500000</v>
      </c>
      <c r="I71" s="10">
        <v>10000000</v>
      </c>
      <c r="J71" s="10">
        <f t="shared" si="4"/>
        <v>10000000</v>
      </c>
      <c r="K71" s="9" t="str">
        <f t="shared" si="5"/>
        <v>TRUE</v>
      </c>
      <c r="L71" t="s">
        <v>235</v>
      </c>
      <c r="M71" t="s">
        <v>240</v>
      </c>
    </row>
    <row r="72" spans="1:13" x14ac:dyDescent="0.3">
      <c r="A72" t="s">
        <v>172</v>
      </c>
      <c r="B72" s="15">
        <v>45335</v>
      </c>
      <c r="C72" s="13">
        <v>0</v>
      </c>
      <c r="D72" t="s">
        <v>218</v>
      </c>
      <c r="E72" t="s">
        <v>221</v>
      </c>
      <c r="F72" t="s">
        <v>230</v>
      </c>
      <c r="G72">
        <v>3</v>
      </c>
      <c r="H72" s="10">
        <v>2500000</v>
      </c>
      <c r="I72" s="10">
        <v>7500000</v>
      </c>
      <c r="J72" s="10">
        <f t="shared" si="4"/>
        <v>7500000</v>
      </c>
      <c r="K72" s="9" t="str">
        <f t="shared" si="5"/>
        <v>TRUE</v>
      </c>
      <c r="L72" t="s">
        <v>237</v>
      </c>
      <c r="M72" t="s">
        <v>241</v>
      </c>
    </row>
    <row r="73" spans="1:13" x14ac:dyDescent="0.3">
      <c r="A73" t="s">
        <v>200</v>
      </c>
      <c r="B73" s="15">
        <v>45335</v>
      </c>
      <c r="C73" s="13">
        <v>0</v>
      </c>
      <c r="D73" t="s">
        <v>211</v>
      </c>
      <c r="E73" t="s">
        <v>220</v>
      </c>
      <c r="F73" t="s">
        <v>230</v>
      </c>
      <c r="G73">
        <v>4</v>
      </c>
      <c r="H73" s="10">
        <v>150000</v>
      </c>
      <c r="I73" s="10">
        <v>600000</v>
      </c>
      <c r="J73" s="10">
        <f t="shared" si="4"/>
        <v>600000</v>
      </c>
      <c r="K73" s="9" t="str">
        <f t="shared" si="5"/>
        <v>TRUE</v>
      </c>
      <c r="L73" t="s">
        <v>234</v>
      </c>
      <c r="M73" t="s">
        <v>238</v>
      </c>
    </row>
    <row r="74" spans="1:13" x14ac:dyDescent="0.3">
      <c r="A74" t="s">
        <v>74</v>
      </c>
      <c r="B74" s="15">
        <v>45337</v>
      </c>
      <c r="C74" s="13">
        <v>0</v>
      </c>
      <c r="D74" t="s">
        <v>214</v>
      </c>
      <c r="E74" t="s">
        <v>221</v>
      </c>
      <c r="F74" t="s">
        <v>230</v>
      </c>
      <c r="G74">
        <v>4</v>
      </c>
      <c r="H74" s="10">
        <v>2500000</v>
      </c>
      <c r="I74" s="10">
        <v>10000000</v>
      </c>
      <c r="J74" s="10">
        <f t="shared" si="4"/>
        <v>10000000</v>
      </c>
      <c r="K74" s="9" t="str">
        <f t="shared" si="5"/>
        <v>TRUE</v>
      </c>
      <c r="L74" t="s">
        <v>234</v>
      </c>
      <c r="M74" t="s">
        <v>238</v>
      </c>
    </row>
    <row r="75" spans="1:13" x14ac:dyDescent="0.3">
      <c r="A75" t="s">
        <v>73</v>
      </c>
      <c r="B75" s="15">
        <v>45338</v>
      </c>
      <c r="C75" s="13">
        <v>0</v>
      </c>
      <c r="D75" t="s">
        <v>212</v>
      </c>
      <c r="E75" t="s">
        <v>222</v>
      </c>
      <c r="F75" t="s">
        <v>230</v>
      </c>
      <c r="G75">
        <v>3</v>
      </c>
      <c r="H75" s="10">
        <v>10000000</v>
      </c>
      <c r="I75" s="10">
        <v>30000000</v>
      </c>
      <c r="J75" s="10">
        <f t="shared" si="4"/>
        <v>30000000</v>
      </c>
      <c r="K75" s="9" t="str">
        <f t="shared" si="5"/>
        <v>TRUE</v>
      </c>
      <c r="L75" t="s">
        <v>234</v>
      </c>
      <c r="M75" t="s">
        <v>239</v>
      </c>
    </row>
    <row r="76" spans="1:13" x14ac:dyDescent="0.3">
      <c r="A76" t="s">
        <v>197</v>
      </c>
      <c r="B76" s="15">
        <v>45338</v>
      </c>
      <c r="C76" s="13">
        <v>0</v>
      </c>
      <c r="D76" t="s">
        <v>210</v>
      </c>
      <c r="E76" t="s">
        <v>227</v>
      </c>
      <c r="F76" t="s">
        <v>230</v>
      </c>
      <c r="G76">
        <v>1</v>
      </c>
      <c r="H76" s="10">
        <v>300000</v>
      </c>
      <c r="I76" s="10">
        <v>300000</v>
      </c>
      <c r="J76" s="10">
        <f t="shared" si="4"/>
        <v>300000</v>
      </c>
      <c r="K76" s="9" t="str">
        <f t="shared" si="5"/>
        <v>TRUE</v>
      </c>
      <c r="L76" t="s">
        <v>237</v>
      </c>
      <c r="M76" t="s">
        <v>242</v>
      </c>
    </row>
    <row r="77" spans="1:13" x14ac:dyDescent="0.3">
      <c r="A77" t="s">
        <v>101</v>
      </c>
      <c r="B77" s="15">
        <v>45322</v>
      </c>
      <c r="C77" s="13">
        <v>0</v>
      </c>
      <c r="D77" t="s">
        <v>215</v>
      </c>
      <c r="E77" t="s">
        <v>226</v>
      </c>
      <c r="F77" t="s">
        <v>232</v>
      </c>
      <c r="G77">
        <v>3</v>
      </c>
      <c r="H77" s="10">
        <v>25000</v>
      </c>
      <c r="I77" s="10">
        <v>75000</v>
      </c>
      <c r="J77" s="10">
        <f t="shared" si="4"/>
        <v>75000</v>
      </c>
      <c r="K77" s="9" t="str">
        <f t="shared" si="5"/>
        <v>TRUE</v>
      </c>
      <c r="L77" t="s">
        <v>236</v>
      </c>
      <c r="M77" t="s">
        <v>238</v>
      </c>
    </row>
    <row r="78" spans="1:13" x14ac:dyDescent="0.3">
      <c r="A78" t="s">
        <v>208</v>
      </c>
      <c r="B78" s="15">
        <v>45339</v>
      </c>
      <c r="C78" s="13">
        <v>0</v>
      </c>
      <c r="D78" t="s">
        <v>214</v>
      </c>
      <c r="E78" t="s">
        <v>221</v>
      </c>
      <c r="F78" t="s">
        <v>230</v>
      </c>
      <c r="G78">
        <v>4</v>
      </c>
      <c r="H78" s="10">
        <v>2500000</v>
      </c>
      <c r="I78" s="10">
        <v>10000000</v>
      </c>
      <c r="J78" s="10">
        <f t="shared" si="4"/>
        <v>10000000</v>
      </c>
      <c r="K78" s="9" t="str">
        <f t="shared" si="5"/>
        <v>TRUE</v>
      </c>
      <c r="L78" t="s">
        <v>234</v>
      </c>
      <c r="M78" t="s">
        <v>242</v>
      </c>
    </row>
    <row r="79" spans="1:13" x14ac:dyDescent="0.3">
      <c r="A79" t="s">
        <v>41</v>
      </c>
      <c r="B79" s="15">
        <v>45323</v>
      </c>
      <c r="C79" s="13">
        <v>0</v>
      </c>
      <c r="D79" t="s">
        <v>215</v>
      </c>
      <c r="E79" t="s">
        <v>223</v>
      </c>
      <c r="F79" t="s">
        <v>231</v>
      </c>
      <c r="G79">
        <v>1</v>
      </c>
      <c r="H79" s="10">
        <v>1250000</v>
      </c>
      <c r="I79" s="10">
        <v>1250000</v>
      </c>
      <c r="J79" s="10">
        <f t="shared" si="4"/>
        <v>1250000</v>
      </c>
      <c r="K79" s="9" t="str">
        <f t="shared" si="5"/>
        <v>TRUE</v>
      </c>
      <c r="L79" t="s">
        <v>236</v>
      </c>
      <c r="M79" t="s">
        <v>240</v>
      </c>
    </row>
    <row r="80" spans="1:13" x14ac:dyDescent="0.3">
      <c r="A80" t="s">
        <v>32</v>
      </c>
      <c r="B80" s="15">
        <v>45329</v>
      </c>
      <c r="C80" s="13">
        <v>0</v>
      </c>
      <c r="D80" t="s">
        <v>216</v>
      </c>
      <c r="E80" t="s">
        <v>229</v>
      </c>
      <c r="F80" t="s">
        <v>233</v>
      </c>
      <c r="G80">
        <v>2</v>
      </c>
      <c r="H80" s="10">
        <v>75000</v>
      </c>
      <c r="I80" s="10">
        <v>150000</v>
      </c>
      <c r="J80" s="10">
        <f t="shared" si="4"/>
        <v>150000</v>
      </c>
      <c r="K80" s="9" t="str">
        <f t="shared" si="5"/>
        <v>TRUE</v>
      </c>
      <c r="L80" t="s">
        <v>236</v>
      </c>
      <c r="M80" t="s">
        <v>241</v>
      </c>
    </row>
    <row r="81" spans="1:13" x14ac:dyDescent="0.3">
      <c r="A81" t="s">
        <v>176</v>
      </c>
      <c r="B81" s="15">
        <v>45344</v>
      </c>
      <c r="C81" s="13">
        <v>0</v>
      </c>
      <c r="D81" t="s">
        <v>216</v>
      </c>
      <c r="E81" t="s">
        <v>222</v>
      </c>
      <c r="F81" t="s">
        <v>230</v>
      </c>
      <c r="G81">
        <v>3</v>
      </c>
      <c r="H81" s="10">
        <v>10000000</v>
      </c>
      <c r="I81" s="10">
        <v>30000000</v>
      </c>
      <c r="J81" s="10">
        <f t="shared" si="4"/>
        <v>30000000</v>
      </c>
      <c r="K81" s="9" t="str">
        <f t="shared" si="5"/>
        <v>TRUE</v>
      </c>
      <c r="L81" t="s">
        <v>235</v>
      </c>
      <c r="M81" t="s">
        <v>242</v>
      </c>
    </row>
    <row r="82" spans="1:13" x14ac:dyDescent="0.3">
      <c r="A82" t="s">
        <v>106</v>
      </c>
      <c r="B82" s="15">
        <v>45345</v>
      </c>
      <c r="C82" s="13">
        <v>0</v>
      </c>
      <c r="D82" t="s">
        <v>214</v>
      </c>
      <c r="E82" t="s">
        <v>221</v>
      </c>
      <c r="F82" t="s">
        <v>230</v>
      </c>
      <c r="G82">
        <v>5</v>
      </c>
      <c r="H82" s="10">
        <v>2500000</v>
      </c>
      <c r="I82" s="10">
        <v>12500000</v>
      </c>
      <c r="J82" s="10">
        <f t="shared" si="4"/>
        <v>12500000</v>
      </c>
      <c r="K82" s="9" t="str">
        <f t="shared" si="5"/>
        <v>TRUE</v>
      </c>
      <c r="L82" t="s">
        <v>234</v>
      </c>
      <c r="M82" t="s">
        <v>242</v>
      </c>
    </row>
    <row r="83" spans="1:13" x14ac:dyDescent="0.3">
      <c r="A83" t="s">
        <v>139</v>
      </c>
      <c r="B83" s="15">
        <v>45329</v>
      </c>
      <c r="C83" s="13">
        <v>0</v>
      </c>
      <c r="D83" t="s">
        <v>211</v>
      </c>
      <c r="E83" t="s">
        <v>227</v>
      </c>
      <c r="F83" t="s">
        <v>230</v>
      </c>
      <c r="G83">
        <v>4</v>
      </c>
      <c r="H83" s="10">
        <v>300000</v>
      </c>
      <c r="I83" s="10">
        <v>1200000</v>
      </c>
      <c r="J83" s="10">
        <f t="shared" si="4"/>
        <v>1200000</v>
      </c>
      <c r="K83" s="9" t="str">
        <f t="shared" si="5"/>
        <v>TRUE</v>
      </c>
      <c r="L83" t="s">
        <v>236</v>
      </c>
      <c r="M83" t="s">
        <v>240</v>
      </c>
    </row>
    <row r="84" spans="1:13" x14ac:dyDescent="0.3">
      <c r="A84" t="s">
        <v>97</v>
      </c>
      <c r="B84" s="15">
        <v>45350</v>
      </c>
      <c r="C84" s="13">
        <v>0</v>
      </c>
      <c r="D84" t="s">
        <v>217</v>
      </c>
      <c r="E84" t="s">
        <v>227</v>
      </c>
      <c r="F84" t="s">
        <v>230</v>
      </c>
      <c r="G84">
        <v>4</v>
      </c>
      <c r="H84" s="10">
        <v>300000</v>
      </c>
      <c r="I84" s="10">
        <v>1200000</v>
      </c>
      <c r="J84" s="10">
        <f t="shared" si="4"/>
        <v>1200000</v>
      </c>
      <c r="K84" s="9" t="str">
        <f t="shared" si="5"/>
        <v>TRUE</v>
      </c>
      <c r="L84" t="s">
        <v>237</v>
      </c>
      <c r="M84" t="s">
        <v>242</v>
      </c>
    </row>
    <row r="85" spans="1:13" x14ac:dyDescent="0.3">
      <c r="A85" t="s">
        <v>179</v>
      </c>
      <c r="B85" s="15">
        <v>45350</v>
      </c>
      <c r="C85" s="13">
        <v>0</v>
      </c>
      <c r="D85" t="s">
        <v>213</v>
      </c>
      <c r="E85" t="s">
        <v>222</v>
      </c>
      <c r="F85" t="s">
        <v>230</v>
      </c>
      <c r="G85">
        <v>2</v>
      </c>
      <c r="H85" s="10">
        <v>10000000</v>
      </c>
      <c r="I85" s="10">
        <v>20000000</v>
      </c>
      <c r="J85" s="10">
        <f t="shared" si="4"/>
        <v>20000000</v>
      </c>
      <c r="K85" s="9" t="str">
        <f t="shared" si="5"/>
        <v>TRUE</v>
      </c>
      <c r="L85" t="s">
        <v>234</v>
      </c>
      <c r="M85" t="s">
        <v>239</v>
      </c>
    </row>
    <row r="86" spans="1:13" x14ac:dyDescent="0.3">
      <c r="A86" t="s">
        <v>113</v>
      </c>
      <c r="B86" s="15">
        <v>45352</v>
      </c>
      <c r="C86" s="13">
        <v>0</v>
      </c>
      <c r="D86" t="s">
        <v>218</v>
      </c>
      <c r="E86" t="s">
        <v>222</v>
      </c>
      <c r="F86" t="s">
        <v>230</v>
      </c>
      <c r="G86">
        <v>5</v>
      </c>
      <c r="H86" s="10">
        <v>10000000</v>
      </c>
      <c r="I86" s="10">
        <v>50000000</v>
      </c>
      <c r="J86" s="10">
        <f t="shared" si="4"/>
        <v>50000000</v>
      </c>
      <c r="K86" s="9" t="str">
        <f t="shared" si="5"/>
        <v>TRUE</v>
      </c>
      <c r="L86" t="s">
        <v>237</v>
      </c>
      <c r="M86" t="s">
        <v>238</v>
      </c>
    </row>
    <row r="87" spans="1:13" x14ac:dyDescent="0.3">
      <c r="A87" t="s">
        <v>130</v>
      </c>
      <c r="B87" s="15">
        <v>45354</v>
      </c>
      <c r="C87" s="13">
        <v>0</v>
      </c>
      <c r="D87" t="s">
        <v>216</v>
      </c>
      <c r="E87" t="s">
        <v>221</v>
      </c>
      <c r="F87" t="s">
        <v>230</v>
      </c>
      <c r="G87">
        <v>2</v>
      </c>
      <c r="H87" s="10">
        <v>2500000</v>
      </c>
      <c r="I87" s="10">
        <v>5000000</v>
      </c>
      <c r="J87" s="10">
        <f t="shared" si="4"/>
        <v>5000000</v>
      </c>
      <c r="K87" s="9" t="str">
        <f t="shared" si="5"/>
        <v>TRUE</v>
      </c>
      <c r="L87" t="s">
        <v>235</v>
      </c>
      <c r="M87" t="s">
        <v>242</v>
      </c>
    </row>
    <row r="88" spans="1:13" x14ac:dyDescent="0.3">
      <c r="A88" t="s">
        <v>142</v>
      </c>
      <c r="B88" s="15">
        <v>45354</v>
      </c>
      <c r="C88" s="13">
        <v>0</v>
      </c>
      <c r="D88" t="s">
        <v>218</v>
      </c>
      <c r="E88" t="s">
        <v>220</v>
      </c>
      <c r="F88" t="s">
        <v>230</v>
      </c>
      <c r="G88">
        <v>5</v>
      </c>
      <c r="H88" s="10">
        <v>150000</v>
      </c>
      <c r="I88" s="10">
        <v>750000</v>
      </c>
      <c r="J88" s="10">
        <f t="shared" si="4"/>
        <v>750000</v>
      </c>
      <c r="K88" s="9" t="str">
        <f t="shared" si="5"/>
        <v>TRUE</v>
      </c>
      <c r="L88" t="s">
        <v>234</v>
      </c>
      <c r="M88" t="s">
        <v>238</v>
      </c>
    </row>
    <row r="89" spans="1:13" x14ac:dyDescent="0.3">
      <c r="A89" t="s">
        <v>33</v>
      </c>
      <c r="B89" s="15">
        <v>45356</v>
      </c>
      <c r="C89" s="13">
        <v>0</v>
      </c>
      <c r="D89" t="s">
        <v>211</v>
      </c>
      <c r="E89" t="s">
        <v>227</v>
      </c>
      <c r="F89" t="s">
        <v>230</v>
      </c>
      <c r="G89">
        <v>5</v>
      </c>
      <c r="H89" s="10">
        <v>300000</v>
      </c>
      <c r="I89" s="10">
        <v>1500000</v>
      </c>
      <c r="J89" s="10">
        <f t="shared" si="4"/>
        <v>1500000</v>
      </c>
      <c r="K89" s="9" t="str">
        <f t="shared" si="5"/>
        <v>TRUE</v>
      </c>
      <c r="L89" t="s">
        <v>237</v>
      </c>
      <c r="M89" t="s">
        <v>240</v>
      </c>
    </row>
    <row r="90" spans="1:13" x14ac:dyDescent="0.3">
      <c r="A90" t="s">
        <v>156</v>
      </c>
      <c r="B90" s="15">
        <v>45333</v>
      </c>
      <c r="C90" s="13">
        <v>0</v>
      </c>
      <c r="D90" t="s">
        <v>218</v>
      </c>
      <c r="E90" t="s">
        <v>225</v>
      </c>
      <c r="F90" t="s">
        <v>231</v>
      </c>
      <c r="G90">
        <v>3</v>
      </c>
      <c r="H90" s="10">
        <v>350000</v>
      </c>
      <c r="I90" s="10">
        <v>1050000</v>
      </c>
      <c r="J90" s="10">
        <f t="shared" si="4"/>
        <v>1050000</v>
      </c>
      <c r="K90" s="9" t="str">
        <f t="shared" si="5"/>
        <v>TRUE</v>
      </c>
      <c r="L90" t="s">
        <v>236</v>
      </c>
      <c r="M90" t="s">
        <v>238</v>
      </c>
    </row>
    <row r="91" spans="1:13" x14ac:dyDescent="0.3">
      <c r="A91" t="s">
        <v>84</v>
      </c>
      <c r="B91" s="15">
        <v>45358</v>
      </c>
      <c r="C91" s="13">
        <v>0</v>
      </c>
      <c r="D91" t="s">
        <v>215</v>
      </c>
      <c r="E91" t="s">
        <v>221</v>
      </c>
      <c r="F91" t="s">
        <v>230</v>
      </c>
      <c r="G91">
        <v>2</v>
      </c>
      <c r="H91" s="10">
        <v>2500000</v>
      </c>
      <c r="I91" s="10">
        <v>5000000</v>
      </c>
      <c r="J91" s="10">
        <f t="shared" si="4"/>
        <v>5000000</v>
      </c>
      <c r="K91" s="9" t="str">
        <f t="shared" si="5"/>
        <v>TRUE</v>
      </c>
      <c r="L91" t="s">
        <v>235</v>
      </c>
      <c r="M91" t="s">
        <v>239</v>
      </c>
    </row>
    <row r="92" spans="1:13" x14ac:dyDescent="0.3">
      <c r="A92" t="s">
        <v>35</v>
      </c>
      <c r="B92" s="15">
        <v>45359</v>
      </c>
      <c r="C92" s="13">
        <v>0</v>
      </c>
      <c r="D92" t="s">
        <v>215</v>
      </c>
      <c r="E92" t="s">
        <v>222</v>
      </c>
      <c r="F92" t="s">
        <v>230</v>
      </c>
      <c r="G92">
        <v>5</v>
      </c>
      <c r="H92" s="10">
        <v>10000000</v>
      </c>
      <c r="I92" s="10">
        <v>50000000</v>
      </c>
      <c r="J92" s="10">
        <f t="shared" si="4"/>
        <v>50000000</v>
      </c>
      <c r="K92" s="9" t="str">
        <f t="shared" si="5"/>
        <v>TRUE</v>
      </c>
      <c r="L92" t="s">
        <v>235</v>
      </c>
      <c r="M92" t="s">
        <v>239</v>
      </c>
    </row>
    <row r="93" spans="1:13" x14ac:dyDescent="0.3">
      <c r="A93" t="s">
        <v>160</v>
      </c>
      <c r="B93" s="15">
        <v>45336</v>
      </c>
      <c r="C93" s="13">
        <v>0</v>
      </c>
      <c r="D93" t="s">
        <v>215</v>
      </c>
      <c r="E93" t="s">
        <v>229</v>
      </c>
      <c r="F93" t="s">
        <v>233</v>
      </c>
      <c r="G93">
        <v>3</v>
      </c>
      <c r="H93" s="10">
        <v>75000</v>
      </c>
      <c r="I93" s="10">
        <v>225000</v>
      </c>
      <c r="J93" s="10">
        <f t="shared" si="4"/>
        <v>225000</v>
      </c>
      <c r="K93" s="9" t="str">
        <f t="shared" si="5"/>
        <v>TRUE</v>
      </c>
      <c r="L93" t="s">
        <v>236</v>
      </c>
      <c r="M93" t="s">
        <v>238</v>
      </c>
    </row>
    <row r="94" spans="1:13" x14ac:dyDescent="0.3">
      <c r="A94" t="s">
        <v>135</v>
      </c>
      <c r="B94" s="15">
        <v>45360</v>
      </c>
      <c r="C94" s="13">
        <v>0</v>
      </c>
      <c r="D94" t="s">
        <v>212</v>
      </c>
      <c r="E94" t="s">
        <v>227</v>
      </c>
      <c r="F94" t="s">
        <v>230</v>
      </c>
      <c r="G94">
        <v>2</v>
      </c>
      <c r="H94" s="10">
        <v>300000</v>
      </c>
      <c r="I94" s="10">
        <v>600000</v>
      </c>
      <c r="J94" s="10">
        <f t="shared" si="4"/>
        <v>600000</v>
      </c>
      <c r="K94" s="9" t="str">
        <f t="shared" si="5"/>
        <v>TRUE</v>
      </c>
      <c r="L94" t="s">
        <v>235</v>
      </c>
      <c r="M94" t="s">
        <v>241</v>
      </c>
    </row>
    <row r="95" spans="1:13" x14ac:dyDescent="0.3">
      <c r="A95" t="s">
        <v>47</v>
      </c>
      <c r="B95" s="15">
        <v>45337</v>
      </c>
      <c r="C95" s="13">
        <v>0</v>
      </c>
      <c r="D95" t="s">
        <v>216</v>
      </c>
      <c r="E95" t="s">
        <v>229</v>
      </c>
      <c r="F95" t="s">
        <v>233</v>
      </c>
      <c r="G95">
        <v>4</v>
      </c>
      <c r="H95" s="10">
        <v>75000</v>
      </c>
      <c r="I95" s="10">
        <v>300000</v>
      </c>
      <c r="J95" s="10">
        <f t="shared" si="4"/>
        <v>300000</v>
      </c>
      <c r="K95" s="9" t="str">
        <f t="shared" si="5"/>
        <v>TRUE</v>
      </c>
      <c r="L95" t="s">
        <v>236</v>
      </c>
      <c r="M95" t="s">
        <v>239</v>
      </c>
    </row>
    <row r="96" spans="1:13" x14ac:dyDescent="0.3">
      <c r="A96" t="s">
        <v>45</v>
      </c>
      <c r="B96" s="15">
        <v>45361</v>
      </c>
      <c r="C96" s="13">
        <v>0</v>
      </c>
      <c r="D96" t="s">
        <v>214</v>
      </c>
      <c r="E96" t="s">
        <v>227</v>
      </c>
      <c r="F96" t="s">
        <v>230</v>
      </c>
      <c r="G96">
        <v>5</v>
      </c>
      <c r="H96" s="10">
        <v>300000</v>
      </c>
      <c r="I96" s="10">
        <v>1500000</v>
      </c>
      <c r="J96" s="10">
        <f t="shared" si="4"/>
        <v>1500000</v>
      </c>
      <c r="K96" s="9" t="str">
        <f t="shared" si="5"/>
        <v>TRUE</v>
      </c>
      <c r="L96" t="s">
        <v>235</v>
      </c>
      <c r="M96" t="s">
        <v>238</v>
      </c>
    </row>
    <row r="97" spans="1:13" x14ac:dyDescent="0.3">
      <c r="A97" t="s">
        <v>117</v>
      </c>
      <c r="B97" s="15">
        <v>45339</v>
      </c>
      <c r="C97" s="13">
        <v>0</v>
      </c>
      <c r="D97" t="s">
        <v>214</v>
      </c>
      <c r="E97" t="s">
        <v>227</v>
      </c>
      <c r="F97" t="s">
        <v>230</v>
      </c>
      <c r="G97">
        <v>5</v>
      </c>
      <c r="H97" s="10">
        <v>300000</v>
      </c>
      <c r="I97" s="10">
        <v>1500000</v>
      </c>
      <c r="J97" s="10">
        <f t="shared" si="4"/>
        <v>1500000</v>
      </c>
      <c r="K97" s="9" t="str">
        <f t="shared" si="5"/>
        <v>TRUE</v>
      </c>
      <c r="L97" t="s">
        <v>236</v>
      </c>
      <c r="M97" t="s">
        <v>238</v>
      </c>
    </row>
    <row r="98" spans="1:13" x14ac:dyDescent="0.3">
      <c r="A98" t="s">
        <v>87</v>
      </c>
      <c r="B98" s="15">
        <v>45362</v>
      </c>
      <c r="C98" s="13">
        <v>0</v>
      </c>
      <c r="D98" t="s">
        <v>213</v>
      </c>
      <c r="E98" t="s">
        <v>227</v>
      </c>
      <c r="F98" t="s">
        <v>230</v>
      </c>
      <c r="G98">
        <v>2</v>
      </c>
      <c r="H98" s="10">
        <v>300000</v>
      </c>
      <c r="I98" s="10">
        <v>600000</v>
      </c>
      <c r="J98" s="10">
        <f t="shared" ref="J98:J129" si="6">H98*G98</f>
        <v>600000</v>
      </c>
      <c r="K98" s="9" t="str">
        <f t="shared" ref="K98:K129" si="7">IF(J98=I98,"TRUE","FALSE")</f>
        <v>TRUE</v>
      </c>
      <c r="L98" t="s">
        <v>235</v>
      </c>
      <c r="M98" t="s">
        <v>238</v>
      </c>
    </row>
    <row r="99" spans="1:13" x14ac:dyDescent="0.3">
      <c r="A99" t="s">
        <v>58</v>
      </c>
      <c r="B99" s="15">
        <v>45343</v>
      </c>
      <c r="C99" s="13">
        <v>0</v>
      </c>
      <c r="D99" t="s">
        <v>212</v>
      </c>
      <c r="E99" t="s">
        <v>220</v>
      </c>
      <c r="F99" t="s">
        <v>230</v>
      </c>
      <c r="G99">
        <v>5</v>
      </c>
      <c r="H99" s="10">
        <v>150000</v>
      </c>
      <c r="I99" s="10">
        <v>750000</v>
      </c>
      <c r="J99" s="10">
        <f t="shared" si="6"/>
        <v>750000</v>
      </c>
      <c r="K99" s="9" t="str">
        <f t="shared" si="7"/>
        <v>TRUE</v>
      </c>
      <c r="L99" t="s">
        <v>236</v>
      </c>
      <c r="M99" t="s">
        <v>240</v>
      </c>
    </row>
    <row r="100" spans="1:13" x14ac:dyDescent="0.3">
      <c r="A100" t="s">
        <v>188</v>
      </c>
      <c r="B100" s="15">
        <v>45366</v>
      </c>
      <c r="C100" s="13">
        <v>0</v>
      </c>
      <c r="D100" t="s">
        <v>216</v>
      </c>
      <c r="E100" t="s">
        <v>227</v>
      </c>
      <c r="F100" t="s">
        <v>230</v>
      </c>
      <c r="G100">
        <v>2</v>
      </c>
      <c r="H100" s="10">
        <v>300000</v>
      </c>
      <c r="I100" s="10">
        <v>600000</v>
      </c>
      <c r="J100" s="10">
        <f t="shared" si="6"/>
        <v>600000</v>
      </c>
      <c r="K100" s="9" t="str">
        <f t="shared" si="7"/>
        <v>TRUE</v>
      </c>
      <c r="L100" t="s">
        <v>237</v>
      </c>
      <c r="M100" t="s">
        <v>242</v>
      </c>
    </row>
    <row r="101" spans="1:13" x14ac:dyDescent="0.3">
      <c r="A101" t="s">
        <v>80</v>
      </c>
      <c r="B101" s="15">
        <v>45343</v>
      </c>
      <c r="C101" s="13">
        <v>0</v>
      </c>
      <c r="D101" t="s">
        <v>218</v>
      </c>
      <c r="E101" t="s">
        <v>221</v>
      </c>
      <c r="F101" t="s">
        <v>230</v>
      </c>
      <c r="G101">
        <v>3</v>
      </c>
      <c r="H101" s="10">
        <v>2500000</v>
      </c>
      <c r="I101" s="10">
        <v>7500000</v>
      </c>
      <c r="J101" s="10">
        <f t="shared" si="6"/>
        <v>7500000</v>
      </c>
      <c r="K101" s="9" t="str">
        <f t="shared" si="7"/>
        <v>TRUE</v>
      </c>
      <c r="L101" t="s">
        <v>236</v>
      </c>
      <c r="M101" t="s">
        <v>241</v>
      </c>
    </row>
    <row r="102" spans="1:13" x14ac:dyDescent="0.3">
      <c r="A102" t="s">
        <v>171</v>
      </c>
      <c r="B102" s="15">
        <v>45368</v>
      </c>
      <c r="C102" s="13">
        <v>0</v>
      </c>
      <c r="D102" t="s">
        <v>211</v>
      </c>
      <c r="E102" t="s">
        <v>221</v>
      </c>
      <c r="F102" t="s">
        <v>230</v>
      </c>
      <c r="G102">
        <v>2</v>
      </c>
      <c r="H102" s="10">
        <v>2500000</v>
      </c>
      <c r="I102" s="10">
        <v>5000000</v>
      </c>
      <c r="J102" s="10">
        <f t="shared" si="6"/>
        <v>5000000</v>
      </c>
      <c r="K102" s="9" t="str">
        <f t="shared" si="7"/>
        <v>TRUE</v>
      </c>
      <c r="L102" t="s">
        <v>237</v>
      </c>
      <c r="M102" t="s">
        <v>242</v>
      </c>
    </row>
    <row r="103" spans="1:13" x14ac:dyDescent="0.3">
      <c r="A103" t="s">
        <v>98</v>
      </c>
      <c r="B103" s="15">
        <v>45370</v>
      </c>
      <c r="C103" s="13">
        <v>0</v>
      </c>
      <c r="D103" t="s">
        <v>217</v>
      </c>
      <c r="E103" t="s">
        <v>221</v>
      </c>
      <c r="F103" t="s">
        <v>230</v>
      </c>
      <c r="G103">
        <v>4</v>
      </c>
      <c r="H103" s="10">
        <v>2500000</v>
      </c>
      <c r="I103" s="10">
        <v>10000000</v>
      </c>
      <c r="J103" s="10">
        <f t="shared" si="6"/>
        <v>10000000</v>
      </c>
      <c r="K103" s="9" t="str">
        <f t="shared" si="7"/>
        <v>TRUE</v>
      </c>
      <c r="L103" t="s">
        <v>235</v>
      </c>
      <c r="M103" t="s">
        <v>238</v>
      </c>
    </row>
    <row r="104" spans="1:13" x14ac:dyDescent="0.3">
      <c r="A104" t="s">
        <v>76</v>
      </c>
      <c r="B104" s="15">
        <v>45344</v>
      </c>
      <c r="C104" s="13">
        <v>0</v>
      </c>
      <c r="D104" t="s">
        <v>219</v>
      </c>
      <c r="E104" t="s">
        <v>223</v>
      </c>
      <c r="F104" t="s">
        <v>231</v>
      </c>
      <c r="G104">
        <v>3</v>
      </c>
      <c r="H104" s="10">
        <v>1250000</v>
      </c>
      <c r="I104" s="10">
        <v>3750000</v>
      </c>
      <c r="J104" s="10">
        <f t="shared" si="6"/>
        <v>3750000</v>
      </c>
      <c r="K104" s="9" t="str">
        <f t="shared" si="7"/>
        <v>TRUE</v>
      </c>
      <c r="L104" t="s">
        <v>236</v>
      </c>
      <c r="M104" t="s">
        <v>242</v>
      </c>
    </row>
    <row r="105" spans="1:13" x14ac:dyDescent="0.3">
      <c r="A105" t="s">
        <v>82</v>
      </c>
      <c r="B105" s="15">
        <v>45347</v>
      </c>
      <c r="C105" s="13">
        <v>0</v>
      </c>
      <c r="D105" t="s">
        <v>213</v>
      </c>
      <c r="E105" t="s">
        <v>224</v>
      </c>
      <c r="F105" t="s">
        <v>232</v>
      </c>
      <c r="G105">
        <v>3</v>
      </c>
      <c r="H105" s="10">
        <v>5000</v>
      </c>
      <c r="I105" s="10">
        <v>15000</v>
      </c>
      <c r="J105" s="10">
        <f t="shared" si="6"/>
        <v>15000</v>
      </c>
      <c r="K105" s="9" t="str">
        <f t="shared" si="7"/>
        <v>TRUE</v>
      </c>
      <c r="L105" t="s">
        <v>236</v>
      </c>
      <c r="M105" t="s">
        <v>242</v>
      </c>
    </row>
    <row r="106" spans="1:13" x14ac:dyDescent="0.3">
      <c r="A106" t="s">
        <v>149</v>
      </c>
      <c r="B106" s="15">
        <v>45349</v>
      </c>
      <c r="C106" s="13">
        <v>0</v>
      </c>
      <c r="D106" t="s">
        <v>210</v>
      </c>
      <c r="E106" t="s">
        <v>225</v>
      </c>
      <c r="F106" t="s">
        <v>231</v>
      </c>
      <c r="G106">
        <v>4</v>
      </c>
      <c r="H106" s="10">
        <v>350000</v>
      </c>
      <c r="I106" s="10">
        <v>1400000</v>
      </c>
      <c r="J106" s="10">
        <f t="shared" si="6"/>
        <v>1400000</v>
      </c>
      <c r="K106" s="9" t="str">
        <f t="shared" si="7"/>
        <v>TRUE</v>
      </c>
      <c r="L106" t="s">
        <v>236</v>
      </c>
      <c r="M106" t="s">
        <v>238</v>
      </c>
    </row>
    <row r="107" spans="1:13" x14ac:dyDescent="0.3">
      <c r="A107" t="s">
        <v>10</v>
      </c>
      <c r="B107" s="15">
        <v>45373</v>
      </c>
      <c r="C107" s="13">
        <v>0</v>
      </c>
      <c r="D107" t="s">
        <v>210</v>
      </c>
      <c r="E107" t="s">
        <v>220</v>
      </c>
      <c r="F107" t="s">
        <v>230</v>
      </c>
      <c r="G107">
        <v>1</v>
      </c>
      <c r="H107" s="10">
        <v>150000</v>
      </c>
      <c r="I107" s="10">
        <v>150000</v>
      </c>
      <c r="J107" s="10">
        <f t="shared" si="6"/>
        <v>150000</v>
      </c>
      <c r="K107" s="9" t="str">
        <f t="shared" si="7"/>
        <v>TRUE</v>
      </c>
      <c r="L107" t="s">
        <v>234</v>
      </c>
      <c r="M107" t="s">
        <v>238</v>
      </c>
    </row>
    <row r="108" spans="1:13" x14ac:dyDescent="0.3">
      <c r="A108" t="s">
        <v>114</v>
      </c>
      <c r="B108" s="15">
        <v>45375</v>
      </c>
      <c r="C108" s="13">
        <v>0</v>
      </c>
      <c r="D108" t="s">
        <v>218</v>
      </c>
      <c r="E108" t="s">
        <v>220</v>
      </c>
      <c r="F108" t="s">
        <v>230</v>
      </c>
      <c r="G108">
        <v>1</v>
      </c>
      <c r="H108" s="10">
        <v>150000</v>
      </c>
      <c r="I108" s="10">
        <v>150000</v>
      </c>
      <c r="J108" s="10">
        <f t="shared" si="6"/>
        <v>150000</v>
      </c>
      <c r="K108" s="9" t="str">
        <f t="shared" si="7"/>
        <v>TRUE</v>
      </c>
      <c r="L108" t="s">
        <v>234</v>
      </c>
      <c r="M108" t="s">
        <v>238</v>
      </c>
    </row>
    <row r="109" spans="1:13" x14ac:dyDescent="0.3">
      <c r="A109" t="s">
        <v>209</v>
      </c>
      <c r="B109" s="15">
        <v>45375</v>
      </c>
      <c r="C109" s="13">
        <v>0</v>
      </c>
      <c r="D109" t="s">
        <v>214</v>
      </c>
      <c r="E109" t="s">
        <v>220</v>
      </c>
      <c r="F109" t="s">
        <v>230</v>
      </c>
      <c r="G109">
        <v>4</v>
      </c>
      <c r="H109" s="10">
        <v>150000</v>
      </c>
      <c r="I109" s="10">
        <v>600000</v>
      </c>
      <c r="J109" s="10">
        <f t="shared" si="6"/>
        <v>600000</v>
      </c>
      <c r="K109" s="9" t="str">
        <f t="shared" si="7"/>
        <v>TRUE</v>
      </c>
      <c r="L109" t="s">
        <v>235</v>
      </c>
      <c r="M109" t="s">
        <v>241</v>
      </c>
    </row>
    <row r="110" spans="1:13" x14ac:dyDescent="0.3">
      <c r="A110" t="s">
        <v>91</v>
      </c>
      <c r="B110" s="15">
        <v>45376</v>
      </c>
      <c r="C110" s="13">
        <v>0</v>
      </c>
      <c r="D110" t="s">
        <v>217</v>
      </c>
      <c r="E110" t="s">
        <v>220</v>
      </c>
      <c r="F110" t="s">
        <v>230</v>
      </c>
      <c r="G110">
        <v>3</v>
      </c>
      <c r="H110" s="10">
        <v>150000</v>
      </c>
      <c r="I110" s="10">
        <v>450000</v>
      </c>
      <c r="J110" s="10">
        <f t="shared" si="6"/>
        <v>450000</v>
      </c>
      <c r="K110" s="9" t="str">
        <f t="shared" si="7"/>
        <v>TRUE</v>
      </c>
      <c r="L110" t="s">
        <v>237</v>
      </c>
      <c r="M110" t="s">
        <v>239</v>
      </c>
    </row>
    <row r="111" spans="1:13" x14ac:dyDescent="0.3">
      <c r="A111" t="s">
        <v>177</v>
      </c>
      <c r="B111" s="15">
        <v>45376</v>
      </c>
      <c r="C111" s="13">
        <v>0</v>
      </c>
      <c r="D111" t="s">
        <v>218</v>
      </c>
      <c r="E111" t="s">
        <v>227</v>
      </c>
      <c r="F111" t="s">
        <v>230</v>
      </c>
      <c r="G111">
        <v>4</v>
      </c>
      <c r="H111" s="10">
        <v>300000</v>
      </c>
      <c r="I111" s="10">
        <v>1200000</v>
      </c>
      <c r="J111" s="10">
        <f t="shared" si="6"/>
        <v>1200000</v>
      </c>
      <c r="K111" s="9" t="str">
        <f t="shared" si="7"/>
        <v>TRUE</v>
      </c>
      <c r="L111" t="s">
        <v>234</v>
      </c>
      <c r="M111" t="s">
        <v>240</v>
      </c>
    </row>
    <row r="112" spans="1:13" x14ac:dyDescent="0.3">
      <c r="A112" t="s">
        <v>116</v>
      </c>
      <c r="B112" s="15">
        <v>45377</v>
      </c>
      <c r="C112" s="13">
        <v>0</v>
      </c>
      <c r="D112" t="s">
        <v>212</v>
      </c>
      <c r="E112" t="s">
        <v>220</v>
      </c>
      <c r="F112" t="s">
        <v>230</v>
      </c>
      <c r="G112">
        <v>5</v>
      </c>
      <c r="H112" s="10">
        <v>150000</v>
      </c>
      <c r="I112" s="10">
        <v>750000</v>
      </c>
      <c r="J112" s="10">
        <f t="shared" si="6"/>
        <v>750000</v>
      </c>
      <c r="K112" s="9" t="str">
        <f t="shared" si="7"/>
        <v>TRUE</v>
      </c>
      <c r="L112" t="s">
        <v>235</v>
      </c>
      <c r="M112" t="s">
        <v>241</v>
      </c>
    </row>
    <row r="113" spans="1:13" x14ac:dyDescent="0.3">
      <c r="A113" t="s">
        <v>115</v>
      </c>
      <c r="B113" s="15">
        <v>45294</v>
      </c>
      <c r="C113" s="13">
        <v>0</v>
      </c>
      <c r="D113" t="s">
        <v>212</v>
      </c>
      <c r="E113" t="s">
        <v>225</v>
      </c>
      <c r="F113" t="s">
        <v>231</v>
      </c>
      <c r="G113">
        <v>2</v>
      </c>
      <c r="H113" s="10">
        <v>350000</v>
      </c>
      <c r="I113" s="10">
        <v>700000</v>
      </c>
      <c r="J113" s="10">
        <f t="shared" si="6"/>
        <v>700000</v>
      </c>
      <c r="K113" s="9" t="str">
        <f t="shared" si="7"/>
        <v>TRUE</v>
      </c>
      <c r="L113" t="s">
        <v>234</v>
      </c>
      <c r="M113" t="s">
        <v>242</v>
      </c>
    </row>
    <row r="114" spans="1:13" x14ac:dyDescent="0.3">
      <c r="A114" t="s">
        <v>182</v>
      </c>
      <c r="B114" s="15">
        <v>45296</v>
      </c>
      <c r="C114" s="13">
        <v>0</v>
      </c>
      <c r="D114" t="s">
        <v>212</v>
      </c>
      <c r="E114" t="s">
        <v>225</v>
      </c>
      <c r="F114" t="s">
        <v>231</v>
      </c>
      <c r="G114">
        <v>1</v>
      </c>
      <c r="H114" s="10">
        <v>350000</v>
      </c>
      <c r="I114" s="10">
        <v>350000</v>
      </c>
      <c r="J114" s="10">
        <f t="shared" si="6"/>
        <v>350000</v>
      </c>
      <c r="K114" s="9" t="str">
        <f t="shared" si="7"/>
        <v>TRUE</v>
      </c>
      <c r="L114" t="s">
        <v>237</v>
      </c>
      <c r="M114" t="s">
        <v>238</v>
      </c>
    </row>
    <row r="115" spans="1:13" x14ac:dyDescent="0.3">
      <c r="A115" t="s">
        <v>19</v>
      </c>
      <c r="B115" s="15">
        <v>45297</v>
      </c>
      <c r="C115" s="13">
        <v>0</v>
      </c>
      <c r="D115" t="s">
        <v>211</v>
      </c>
      <c r="E115" t="s">
        <v>223</v>
      </c>
      <c r="F115" t="s">
        <v>231</v>
      </c>
      <c r="G115">
        <v>3</v>
      </c>
      <c r="H115" s="10">
        <v>1250000</v>
      </c>
      <c r="I115" s="10">
        <v>3750000</v>
      </c>
      <c r="J115" s="10">
        <f t="shared" si="6"/>
        <v>3750000</v>
      </c>
      <c r="K115" s="9" t="str">
        <f t="shared" si="7"/>
        <v>TRUE</v>
      </c>
      <c r="L115" t="s">
        <v>234</v>
      </c>
      <c r="M115" t="s">
        <v>239</v>
      </c>
    </row>
    <row r="116" spans="1:13" x14ac:dyDescent="0.3">
      <c r="A116" t="s">
        <v>17</v>
      </c>
      <c r="B116" s="15">
        <v>45350</v>
      </c>
      <c r="C116" s="13">
        <v>0</v>
      </c>
      <c r="D116" t="s">
        <v>213</v>
      </c>
      <c r="E116" t="s">
        <v>221</v>
      </c>
      <c r="F116" t="s">
        <v>230</v>
      </c>
      <c r="G116">
        <v>1</v>
      </c>
      <c r="H116" s="10">
        <v>2500000</v>
      </c>
      <c r="I116" s="10">
        <v>2500000</v>
      </c>
      <c r="J116" s="10">
        <f t="shared" si="6"/>
        <v>2500000</v>
      </c>
      <c r="K116" s="9" t="str">
        <f t="shared" si="7"/>
        <v>TRUE</v>
      </c>
      <c r="L116" t="s">
        <v>236</v>
      </c>
      <c r="M116" t="s">
        <v>240</v>
      </c>
    </row>
    <row r="117" spans="1:13" x14ac:dyDescent="0.3">
      <c r="A117" t="s">
        <v>164</v>
      </c>
      <c r="B117" s="15">
        <v>45298</v>
      </c>
      <c r="C117" s="13">
        <v>0</v>
      </c>
      <c r="D117" t="s">
        <v>215</v>
      </c>
      <c r="E117" t="s">
        <v>223</v>
      </c>
      <c r="F117" t="s">
        <v>231</v>
      </c>
      <c r="G117">
        <v>5</v>
      </c>
      <c r="H117" s="10">
        <v>1250000</v>
      </c>
      <c r="I117" s="10">
        <v>6250000</v>
      </c>
      <c r="J117" s="10">
        <f t="shared" si="6"/>
        <v>6250000</v>
      </c>
      <c r="K117" s="9" t="str">
        <f t="shared" si="7"/>
        <v>TRUE</v>
      </c>
      <c r="L117" t="s">
        <v>235</v>
      </c>
      <c r="M117" t="s">
        <v>242</v>
      </c>
    </row>
    <row r="118" spans="1:13" x14ac:dyDescent="0.3">
      <c r="A118" t="s">
        <v>165</v>
      </c>
      <c r="B118" s="15">
        <v>45298</v>
      </c>
      <c r="C118" s="13">
        <v>0</v>
      </c>
      <c r="D118" t="s">
        <v>217</v>
      </c>
      <c r="E118" t="s">
        <v>223</v>
      </c>
      <c r="F118" t="s">
        <v>231</v>
      </c>
      <c r="G118">
        <v>3</v>
      </c>
      <c r="H118" s="10">
        <v>1250000</v>
      </c>
      <c r="I118" s="10">
        <v>3750000</v>
      </c>
      <c r="J118" s="10">
        <f t="shared" si="6"/>
        <v>3750000</v>
      </c>
      <c r="K118" s="9" t="str">
        <f t="shared" si="7"/>
        <v>TRUE</v>
      </c>
      <c r="L118" t="s">
        <v>234</v>
      </c>
      <c r="M118" t="s">
        <v>241</v>
      </c>
    </row>
    <row r="119" spans="1:13" x14ac:dyDescent="0.3">
      <c r="A119" t="s">
        <v>62</v>
      </c>
      <c r="B119" s="15">
        <v>45350</v>
      </c>
      <c r="C119" s="13">
        <v>0</v>
      </c>
      <c r="D119" t="s">
        <v>211</v>
      </c>
      <c r="E119" t="s">
        <v>225</v>
      </c>
      <c r="F119" t="s">
        <v>231</v>
      </c>
      <c r="G119">
        <v>5</v>
      </c>
      <c r="H119" s="10">
        <v>350000</v>
      </c>
      <c r="I119" s="10">
        <v>1750000</v>
      </c>
      <c r="J119" s="10">
        <f t="shared" si="6"/>
        <v>1750000</v>
      </c>
      <c r="K119" s="9" t="str">
        <f t="shared" si="7"/>
        <v>TRUE</v>
      </c>
      <c r="L119" t="s">
        <v>236</v>
      </c>
      <c r="M119" t="s">
        <v>240</v>
      </c>
    </row>
    <row r="120" spans="1:13" x14ac:dyDescent="0.3">
      <c r="A120" t="s">
        <v>187</v>
      </c>
      <c r="B120" s="15">
        <v>45302</v>
      </c>
      <c r="C120" s="13">
        <v>0</v>
      </c>
      <c r="D120" t="s">
        <v>214</v>
      </c>
      <c r="E120" t="s">
        <v>225</v>
      </c>
      <c r="F120" t="s">
        <v>231</v>
      </c>
      <c r="G120">
        <v>4</v>
      </c>
      <c r="H120" s="10">
        <v>350000</v>
      </c>
      <c r="I120" s="10">
        <v>1400000</v>
      </c>
      <c r="J120" s="10">
        <f t="shared" si="6"/>
        <v>1400000</v>
      </c>
      <c r="K120" s="9" t="str">
        <f t="shared" si="7"/>
        <v>TRUE</v>
      </c>
      <c r="L120" t="s">
        <v>234</v>
      </c>
      <c r="M120" t="s">
        <v>242</v>
      </c>
    </row>
    <row r="121" spans="1:13" x14ac:dyDescent="0.3">
      <c r="A121" t="s">
        <v>207</v>
      </c>
      <c r="B121" s="15">
        <v>45304</v>
      </c>
      <c r="C121" s="13">
        <v>0</v>
      </c>
      <c r="D121" t="s">
        <v>219</v>
      </c>
      <c r="E121" t="s">
        <v>223</v>
      </c>
      <c r="F121" t="s">
        <v>231</v>
      </c>
      <c r="G121">
        <v>5</v>
      </c>
      <c r="H121" s="10">
        <v>1250000</v>
      </c>
      <c r="I121" s="10">
        <v>6250000</v>
      </c>
      <c r="J121" s="10">
        <f t="shared" si="6"/>
        <v>6250000</v>
      </c>
      <c r="K121" s="9" t="str">
        <f t="shared" si="7"/>
        <v>TRUE</v>
      </c>
      <c r="L121" t="s">
        <v>235</v>
      </c>
      <c r="M121" t="s">
        <v>242</v>
      </c>
    </row>
    <row r="122" spans="1:13" x14ac:dyDescent="0.3">
      <c r="A122" t="s">
        <v>26</v>
      </c>
      <c r="B122" s="15">
        <v>45309</v>
      </c>
      <c r="C122" s="13">
        <v>0</v>
      </c>
      <c r="D122" t="s">
        <v>217</v>
      </c>
      <c r="E122" t="s">
        <v>223</v>
      </c>
      <c r="F122" t="s">
        <v>231</v>
      </c>
      <c r="G122">
        <v>5</v>
      </c>
      <c r="H122" s="10">
        <v>1250000</v>
      </c>
      <c r="I122" s="10">
        <v>6250000</v>
      </c>
      <c r="J122" s="10">
        <f t="shared" si="6"/>
        <v>6250000</v>
      </c>
      <c r="K122" s="9" t="str">
        <f t="shared" si="7"/>
        <v>TRUE</v>
      </c>
      <c r="L122" t="s">
        <v>237</v>
      </c>
      <c r="M122" t="s">
        <v>240</v>
      </c>
    </row>
    <row r="123" spans="1:13" x14ac:dyDescent="0.3">
      <c r="A123" t="s">
        <v>46</v>
      </c>
      <c r="B123" s="15">
        <v>45352</v>
      </c>
      <c r="C123" s="13">
        <v>0</v>
      </c>
      <c r="D123" t="s">
        <v>211</v>
      </c>
      <c r="E123" t="s">
        <v>229</v>
      </c>
      <c r="F123" t="s">
        <v>233</v>
      </c>
      <c r="G123">
        <v>2</v>
      </c>
      <c r="H123" s="10">
        <v>75000</v>
      </c>
      <c r="I123" s="10">
        <v>150000</v>
      </c>
      <c r="J123" s="10">
        <f t="shared" si="6"/>
        <v>150000</v>
      </c>
      <c r="K123" s="9" t="str">
        <f t="shared" si="7"/>
        <v>TRUE</v>
      </c>
      <c r="L123" t="s">
        <v>236</v>
      </c>
      <c r="M123" t="s">
        <v>242</v>
      </c>
    </row>
    <row r="124" spans="1:13" x14ac:dyDescent="0.3">
      <c r="A124" t="s">
        <v>102</v>
      </c>
      <c r="B124" s="15">
        <v>45311</v>
      </c>
      <c r="C124" s="13">
        <v>0</v>
      </c>
      <c r="D124" t="s">
        <v>219</v>
      </c>
      <c r="E124" t="s">
        <v>223</v>
      </c>
      <c r="F124" t="s">
        <v>231</v>
      </c>
      <c r="G124">
        <v>4</v>
      </c>
      <c r="H124" s="10">
        <v>1250000</v>
      </c>
      <c r="I124" s="10">
        <v>5000000</v>
      </c>
      <c r="J124" s="10">
        <f t="shared" si="6"/>
        <v>5000000</v>
      </c>
      <c r="K124" s="9" t="str">
        <f t="shared" si="7"/>
        <v>TRUE</v>
      </c>
      <c r="L124" t="s">
        <v>234</v>
      </c>
      <c r="M124" t="s">
        <v>239</v>
      </c>
    </row>
    <row r="125" spans="1:13" x14ac:dyDescent="0.3">
      <c r="A125" t="s">
        <v>100</v>
      </c>
      <c r="B125" s="15">
        <v>45354</v>
      </c>
      <c r="C125" s="13">
        <v>0</v>
      </c>
      <c r="D125" t="s">
        <v>216</v>
      </c>
      <c r="E125" t="s">
        <v>223</v>
      </c>
      <c r="F125" t="s">
        <v>231</v>
      </c>
      <c r="G125">
        <v>3</v>
      </c>
      <c r="H125" s="10">
        <v>1250000</v>
      </c>
      <c r="I125" s="10">
        <v>3750000</v>
      </c>
      <c r="J125" s="10">
        <f t="shared" si="6"/>
        <v>3750000</v>
      </c>
      <c r="K125" s="9" t="str">
        <f t="shared" si="7"/>
        <v>TRUE</v>
      </c>
      <c r="L125" t="s">
        <v>236</v>
      </c>
      <c r="M125" t="s">
        <v>241</v>
      </c>
    </row>
    <row r="126" spans="1:13" x14ac:dyDescent="0.3">
      <c r="A126" t="s">
        <v>198</v>
      </c>
      <c r="B126" s="15">
        <v>45314</v>
      </c>
      <c r="C126" s="13">
        <v>0</v>
      </c>
      <c r="D126" t="s">
        <v>217</v>
      </c>
      <c r="E126" t="s">
        <v>223</v>
      </c>
      <c r="F126" t="s">
        <v>231</v>
      </c>
      <c r="G126">
        <v>2</v>
      </c>
      <c r="H126" s="10">
        <v>1250000</v>
      </c>
      <c r="I126" s="10">
        <v>2500000</v>
      </c>
      <c r="J126" s="10">
        <f t="shared" si="6"/>
        <v>2500000</v>
      </c>
      <c r="K126" s="9" t="str">
        <f t="shared" si="7"/>
        <v>TRUE</v>
      </c>
      <c r="L126" t="s">
        <v>237</v>
      </c>
      <c r="M126" t="s">
        <v>240</v>
      </c>
    </row>
    <row r="127" spans="1:13" x14ac:dyDescent="0.3">
      <c r="A127" t="s">
        <v>68</v>
      </c>
      <c r="B127" s="15">
        <v>45356</v>
      </c>
      <c r="C127" s="13">
        <v>0</v>
      </c>
      <c r="D127" t="s">
        <v>218</v>
      </c>
      <c r="E127" t="s">
        <v>228</v>
      </c>
      <c r="F127" t="s">
        <v>233</v>
      </c>
      <c r="G127">
        <v>3</v>
      </c>
      <c r="H127" s="10">
        <v>350000</v>
      </c>
      <c r="I127" s="10">
        <v>1050000</v>
      </c>
      <c r="J127" s="10">
        <f t="shared" si="6"/>
        <v>1050000</v>
      </c>
      <c r="K127" s="9" t="str">
        <f t="shared" si="7"/>
        <v>TRUE</v>
      </c>
      <c r="L127" t="s">
        <v>236</v>
      </c>
      <c r="M127" t="s">
        <v>242</v>
      </c>
    </row>
    <row r="128" spans="1:13" x14ac:dyDescent="0.3">
      <c r="A128" t="s">
        <v>28</v>
      </c>
      <c r="B128" s="15">
        <v>45357</v>
      </c>
      <c r="C128" s="13">
        <v>0</v>
      </c>
      <c r="D128" t="s">
        <v>218</v>
      </c>
      <c r="E128" t="s">
        <v>228</v>
      </c>
      <c r="F128" t="s">
        <v>233</v>
      </c>
      <c r="G128">
        <v>1</v>
      </c>
      <c r="H128" s="10">
        <v>350000</v>
      </c>
      <c r="I128" s="10">
        <v>350000</v>
      </c>
      <c r="J128" s="10">
        <f t="shared" si="6"/>
        <v>350000</v>
      </c>
      <c r="K128" s="9" t="str">
        <f t="shared" si="7"/>
        <v>TRUE</v>
      </c>
      <c r="L128" t="s">
        <v>236</v>
      </c>
      <c r="M128" t="s">
        <v>238</v>
      </c>
    </row>
    <row r="129" spans="1:13" x14ac:dyDescent="0.3">
      <c r="A129" t="s">
        <v>134</v>
      </c>
      <c r="B129" s="15">
        <v>45324</v>
      </c>
      <c r="C129" s="13">
        <v>0</v>
      </c>
      <c r="D129" t="s">
        <v>212</v>
      </c>
      <c r="E129" t="s">
        <v>223</v>
      </c>
      <c r="F129" t="s">
        <v>231</v>
      </c>
      <c r="G129">
        <v>1</v>
      </c>
      <c r="H129" s="10">
        <v>1250000</v>
      </c>
      <c r="I129" s="10">
        <v>1250000</v>
      </c>
      <c r="J129" s="10">
        <f t="shared" si="6"/>
        <v>1250000</v>
      </c>
      <c r="K129" s="9" t="str">
        <f t="shared" si="7"/>
        <v>TRUE</v>
      </c>
      <c r="L129" t="s">
        <v>237</v>
      </c>
      <c r="M129" t="s">
        <v>239</v>
      </c>
    </row>
    <row r="130" spans="1:13" x14ac:dyDescent="0.3">
      <c r="A130" t="s">
        <v>67</v>
      </c>
      <c r="B130" s="15">
        <v>45328</v>
      </c>
      <c r="C130" s="13">
        <v>0</v>
      </c>
      <c r="D130" t="s">
        <v>215</v>
      </c>
      <c r="E130" t="s">
        <v>225</v>
      </c>
      <c r="F130" t="s">
        <v>231</v>
      </c>
      <c r="G130">
        <v>2</v>
      </c>
      <c r="H130" s="10">
        <v>350000</v>
      </c>
      <c r="I130" s="10">
        <v>700000</v>
      </c>
      <c r="J130" s="10">
        <f t="shared" ref="J130:J161" si="8">H130*G130</f>
        <v>700000</v>
      </c>
      <c r="K130" s="9" t="str">
        <f t="shared" ref="K130:K161" si="9">IF(J130=I130,"TRUE","FALSE")</f>
        <v>TRUE</v>
      </c>
      <c r="L130" t="s">
        <v>234</v>
      </c>
      <c r="M130" t="s">
        <v>241</v>
      </c>
    </row>
    <row r="131" spans="1:13" x14ac:dyDescent="0.3">
      <c r="A131" t="s">
        <v>89</v>
      </c>
      <c r="B131" s="15">
        <v>45328</v>
      </c>
      <c r="C131" s="13">
        <v>0</v>
      </c>
      <c r="D131" t="s">
        <v>214</v>
      </c>
      <c r="E131" t="s">
        <v>223</v>
      </c>
      <c r="F131" t="s">
        <v>231</v>
      </c>
      <c r="G131">
        <v>4</v>
      </c>
      <c r="H131" s="10">
        <v>1250000</v>
      </c>
      <c r="I131" s="10">
        <v>5000000</v>
      </c>
      <c r="J131" s="10">
        <f t="shared" si="8"/>
        <v>5000000</v>
      </c>
      <c r="K131" s="9" t="str">
        <f t="shared" si="9"/>
        <v>TRUE</v>
      </c>
      <c r="L131" t="s">
        <v>237</v>
      </c>
      <c r="M131" t="s">
        <v>242</v>
      </c>
    </row>
    <row r="132" spans="1:13" x14ac:dyDescent="0.3">
      <c r="A132" t="s">
        <v>18</v>
      </c>
      <c r="B132" s="15">
        <v>45329</v>
      </c>
      <c r="C132" s="13">
        <v>0</v>
      </c>
      <c r="D132" t="s">
        <v>214</v>
      </c>
      <c r="E132" t="s">
        <v>225</v>
      </c>
      <c r="F132" t="s">
        <v>231</v>
      </c>
      <c r="G132">
        <v>3</v>
      </c>
      <c r="H132" s="10">
        <v>350000</v>
      </c>
      <c r="I132" s="10">
        <v>1050000</v>
      </c>
      <c r="J132" s="10">
        <f t="shared" si="8"/>
        <v>1050000</v>
      </c>
      <c r="K132" s="9" t="str">
        <f t="shared" si="9"/>
        <v>TRUE</v>
      </c>
      <c r="L132" t="s">
        <v>234</v>
      </c>
      <c r="M132" t="s">
        <v>239</v>
      </c>
    </row>
    <row r="133" spans="1:13" x14ac:dyDescent="0.3">
      <c r="A133" t="s">
        <v>137</v>
      </c>
      <c r="B133" s="15">
        <v>45329</v>
      </c>
      <c r="C133" s="13">
        <v>0</v>
      </c>
      <c r="D133" t="s">
        <v>219</v>
      </c>
      <c r="E133" t="s">
        <v>223</v>
      </c>
      <c r="F133" t="s">
        <v>231</v>
      </c>
      <c r="G133">
        <v>3</v>
      </c>
      <c r="H133" s="10">
        <v>1250000</v>
      </c>
      <c r="I133" s="10">
        <v>3750000</v>
      </c>
      <c r="J133" s="10">
        <f t="shared" si="8"/>
        <v>3750000</v>
      </c>
      <c r="K133" s="9" t="str">
        <f t="shared" si="9"/>
        <v>TRUE</v>
      </c>
      <c r="L133" t="s">
        <v>237</v>
      </c>
      <c r="M133" t="s">
        <v>239</v>
      </c>
    </row>
    <row r="134" spans="1:13" x14ac:dyDescent="0.3">
      <c r="A134" t="s">
        <v>65</v>
      </c>
      <c r="B134" s="15">
        <v>45330</v>
      </c>
      <c r="C134" s="13">
        <v>0</v>
      </c>
      <c r="D134" t="s">
        <v>218</v>
      </c>
      <c r="E134" t="s">
        <v>225</v>
      </c>
      <c r="F134" t="s">
        <v>231</v>
      </c>
      <c r="G134">
        <v>5</v>
      </c>
      <c r="H134" s="10">
        <v>350000</v>
      </c>
      <c r="I134" s="10">
        <v>1750000</v>
      </c>
      <c r="J134" s="10">
        <f t="shared" si="8"/>
        <v>1750000</v>
      </c>
      <c r="K134" s="9" t="str">
        <f t="shared" si="9"/>
        <v>TRUE</v>
      </c>
      <c r="L134" t="s">
        <v>237</v>
      </c>
      <c r="M134" t="s">
        <v>239</v>
      </c>
    </row>
    <row r="135" spans="1:13" x14ac:dyDescent="0.3">
      <c r="A135" t="s">
        <v>78</v>
      </c>
      <c r="B135" s="15">
        <v>45331</v>
      </c>
      <c r="C135" s="13">
        <v>0</v>
      </c>
      <c r="D135" t="s">
        <v>218</v>
      </c>
      <c r="E135" t="s">
        <v>223</v>
      </c>
      <c r="F135" t="s">
        <v>231</v>
      </c>
      <c r="G135">
        <v>2</v>
      </c>
      <c r="H135" s="10">
        <v>1250000</v>
      </c>
      <c r="I135" s="10">
        <v>2500000</v>
      </c>
      <c r="J135" s="10">
        <f t="shared" si="8"/>
        <v>2500000</v>
      </c>
      <c r="K135" s="9" t="str">
        <f t="shared" si="9"/>
        <v>TRUE</v>
      </c>
      <c r="L135" t="s">
        <v>234</v>
      </c>
      <c r="M135" t="s">
        <v>242</v>
      </c>
    </row>
    <row r="136" spans="1:13" x14ac:dyDescent="0.3">
      <c r="A136" t="s">
        <v>132</v>
      </c>
      <c r="B136" s="15">
        <v>45331</v>
      </c>
      <c r="C136" s="13">
        <v>0</v>
      </c>
      <c r="D136" t="s">
        <v>216</v>
      </c>
      <c r="E136" t="s">
        <v>225</v>
      </c>
      <c r="F136" t="s">
        <v>231</v>
      </c>
      <c r="G136">
        <v>3</v>
      </c>
      <c r="H136" s="10">
        <v>350000</v>
      </c>
      <c r="I136" s="10">
        <v>1050000</v>
      </c>
      <c r="J136" s="10">
        <f t="shared" si="8"/>
        <v>1050000</v>
      </c>
      <c r="K136" s="9" t="str">
        <f t="shared" si="9"/>
        <v>TRUE</v>
      </c>
      <c r="L136" t="s">
        <v>237</v>
      </c>
      <c r="M136" t="s">
        <v>242</v>
      </c>
    </row>
    <row r="137" spans="1:13" x14ac:dyDescent="0.3">
      <c r="A137" t="s">
        <v>57</v>
      </c>
      <c r="B137" s="15">
        <v>45357</v>
      </c>
      <c r="C137" s="13">
        <v>0</v>
      </c>
      <c r="D137" t="s">
        <v>211</v>
      </c>
      <c r="E137" t="s">
        <v>220</v>
      </c>
      <c r="F137" t="s">
        <v>230</v>
      </c>
      <c r="G137">
        <v>2</v>
      </c>
      <c r="H137" s="10">
        <v>150000</v>
      </c>
      <c r="I137" s="10">
        <v>300000</v>
      </c>
      <c r="J137" s="10">
        <f t="shared" si="8"/>
        <v>300000</v>
      </c>
      <c r="K137" s="9" t="str">
        <f t="shared" si="9"/>
        <v>TRUE</v>
      </c>
      <c r="L137" t="s">
        <v>236</v>
      </c>
      <c r="M137" t="s">
        <v>238</v>
      </c>
    </row>
    <row r="138" spans="1:13" x14ac:dyDescent="0.3">
      <c r="A138" t="s">
        <v>175</v>
      </c>
      <c r="B138" s="15">
        <v>45333</v>
      </c>
      <c r="C138" s="13">
        <v>0</v>
      </c>
      <c r="D138" t="s">
        <v>214</v>
      </c>
      <c r="E138" t="s">
        <v>223</v>
      </c>
      <c r="F138" t="s">
        <v>231</v>
      </c>
      <c r="G138">
        <v>2</v>
      </c>
      <c r="H138" s="10">
        <v>1250000</v>
      </c>
      <c r="I138" s="10">
        <v>2500000</v>
      </c>
      <c r="J138" s="10">
        <f t="shared" si="8"/>
        <v>2500000</v>
      </c>
      <c r="K138" s="9" t="str">
        <f t="shared" si="9"/>
        <v>TRUE</v>
      </c>
      <c r="L138" t="s">
        <v>235</v>
      </c>
      <c r="M138" t="s">
        <v>238</v>
      </c>
    </row>
    <row r="139" spans="1:13" x14ac:dyDescent="0.3">
      <c r="A139" t="s">
        <v>21</v>
      </c>
      <c r="B139" s="15">
        <v>45337</v>
      </c>
      <c r="C139" s="13">
        <v>0</v>
      </c>
      <c r="D139" t="s">
        <v>211</v>
      </c>
      <c r="E139" t="s">
        <v>223</v>
      </c>
      <c r="F139" t="s">
        <v>231</v>
      </c>
      <c r="G139">
        <v>3</v>
      </c>
      <c r="H139" s="10">
        <v>1250000</v>
      </c>
      <c r="I139" s="10">
        <v>3750000</v>
      </c>
      <c r="J139" s="10">
        <f t="shared" si="8"/>
        <v>3750000</v>
      </c>
      <c r="K139" s="9" t="str">
        <f t="shared" si="9"/>
        <v>TRUE</v>
      </c>
      <c r="L139" t="s">
        <v>234</v>
      </c>
      <c r="M139" t="s">
        <v>240</v>
      </c>
    </row>
    <row r="140" spans="1:13" x14ac:dyDescent="0.3">
      <c r="A140" t="s">
        <v>30</v>
      </c>
      <c r="B140" s="15">
        <v>45340</v>
      </c>
      <c r="C140" s="13">
        <v>0</v>
      </c>
      <c r="D140" t="s">
        <v>217</v>
      </c>
      <c r="E140" t="s">
        <v>225</v>
      </c>
      <c r="F140" t="s">
        <v>231</v>
      </c>
      <c r="G140">
        <v>4</v>
      </c>
      <c r="H140" s="10">
        <v>350000</v>
      </c>
      <c r="I140" s="10">
        <v>1400000</v>
      </c>
      <c r="J140" s="10">
        <f t="shared" si="8"/>
        <v>1400000</v>
      </c>
      <c r="K140" s="9" t="str">
        <f t="shared" si="9"/>
        <v>TRUE</v>
      </c>
      <c r="L140" t="s">
        <v>237</v>
      </c>
      <c r="M140" t="s">
        <v>240</v>
      </c>
    </row>
    <row r="141" spans="1:13" x14ac:dyDescent="0.3">
      <c r="A141" t="s">
        <v>109</v>
      </c>
      <c r="B141" s="15">
        <v>45360</v>
      </c>
      <c r="C141" s="13">
        <v>0</v>
      </c>
      <c r="D141" t="s">
        <v>214</v>
      </c>
      <c r="E141" t="s">
        <v>222</v>
      </c>
      <c r="F141" t="s">
        <v>230</v>
      </c>
      <c r="G141">
        <v>4</v>
      </c>
      <c r="H141" s="10">
        <v>10000000</v>
      </c>
      <c r="I141" s="10">
        <v>40000000</v>
      </c>
      <c r="J141" s="10">
        <f t="shared" si="8"/>
        <v>40000000</v>
      </c>
      <c r="K141" s="9" t="str">
        <f t="shared" si="9"/>
        <v>TRUE</v>
      </c>
      <c r="L141" t="s">
        <v>236</v>
      </c>
      <c r="M141" t="s">
        <v>239</v>
      </c>
    </row>
    <row r="142" spans="1:13" x14ac:dyDescent="0.3">
      <c r="A142" t="s">
        <v>94</v>
      </c>
      <c r="B142" s="15">
        <v>45345</v>
      </c>
      <c r="C142" s="13">
        <v>0</v>
      </c>
      <c r="D142" t="s">
        <v>213</v>
      </c>
      <c r="E142" t="s">
        <v>225</v>
      </c>
      <c r="F142" t="s">
        <v>231</v>
      </c>
      <c r="G142">
        <v>2</v>
      </c>
      <c r="H142" s="10">
        <v>350000</v>
      </c>
      <c r="I142" s="10">
        <v>700000</v>
      </c>
      <c r="J142" s="10">
        <f t="shared" si="8"/>
        <v>700000</v>
      </c>
      <c r="K142" s="9" t="str">
        <f t="shared" si="9"/>
        <v>TRUE</v>
      </c>
      <c r="L142" t="s">
        <v>235</v>
      </c>
      <c r="M142" t="s">
        <v>242</v>
      </c>
    </row>
    <row r="143" spans="1:13" x14ac:dyDescent="0.3">
      <c r="A143" t="s">
        <v>144</v>
      </c>
      <c r="B143" s="15">
        <v>45345</v>
      </c>
      <c r="C143" s="13">
        <v>0</v>
      </c>
      <c r="D143" t="s">
        <v>214</v>
      </c>
      <c r="E143" t="s">
        <v>225</v>
      </c>
      <c r="F143" t="s">
        <v>231</v>
      </c>
      <c r="G143">
        <v>5</v>
      </c>
      <c r="H143" s="10">
        <v>350000</v>
      </c>
      <c r="I143" s="10">
        <v>1750000</v>
      </c>
      <c r="J143" s="10">
        <f t="shared" si="8"/>
        <v>1750000</v>
      </c>
      <c r="K143" s="9" t="str">
        <f t="shared" si="9"/>
        <v>TRUE</v>
      </c>
      <c r="L143" t="s">
        <v>234</v>
      </c>
      <c r="M143" t="s">
        <v>240</v>
      </c>
    </row>
    <row r="144" spans="1:13" x14ac:dyDescent="0.3">
      <c r="A144" t="s">
        <v>27</v>
      </c>
      <c r="B144" s="15">
        <v>45346</v>
      </c>
      <c r="C144" s="13">
        <v>0</v>
      </c>
      <c r="D144" t="s">
        <v>215</v>
      </c>
      <c r="E144" t="s">
        <v>225</v>
      </c>
      <c r="F144" t="s">
        <v>231</v>
      </c>
      <c r="G144">
        <v>4</v>
      </c>
      <c r="H144" s="10">
        <v>350000</v>
      </c>
      <c r="I144" s="10">
        <v>1400000</v>
      </c>
      <c r="J144" s="10">
        <f t="shared" si="8"/>
        <v>1400000</v>
      </c>
      <c r="K144" s="9" t="str">
        <f t="shared" si="9"/>
        <v>TRUE</v>
      </c>
      <c r="L144" t="s">
        <v>234</v>
      </c>
      <c r="M144" t="s">
        <v>238</v>
      </c>
    </row>
    <row r="145" spans="1:13" x14ac:dyDescent="0.3">
      <c r="A145" t="s">
        <v>125</v>
      </c>
      <c r="B145" s="15">
        <v>45347</v>
      </c>
      <c r="C145" s="13">
        <v>0</v>
      </c>
      <c r="D145" t="s">
        <v>215</v>
      </c>
      <c r="E145" t="s">
        <v>225</v>
      </c>
      <c r="F145" t="s">
        <v>231</v>
      </c>
      <c r="G145">
        <v>3</v>
      </c>
      <c r="H145" s="10">
        <v>350000</v>
      </c>
      <c r="I145" s="10">
        <v>1050000</v>
      </c>
      <c r="J145" s="10">
        <f t="shared" si="8"/>
        <v>1050000</v>
      </c>
      <c r="K145" s="9" t="str">
        <f t="shared" si="9"/>
        <v>TRUE</v>
      </c>
      <c r="L145" t="s">
        <v>234</v>
      </c>
      <c r="M145" t="s">
        <v>239</v>
      </c>
    </row>
    <row r="146" spans="1:13" x14ac:dyDescent="0.3">
      <c r="A146" t="s">
        <v>138</v>
      </c>
      <c r="B146" s="15">
        <v>45360</v>
      </c>
      <c r="C146" s="13">
        <v>0</v>
      </c>
      <c r="D146" t="s">
        <v>218</v>
      </c>
      <c r="E146" t="s">
        <v>227</v>
      </c>
      <c r="F146" t="s">
        <v>230</v>
      </c>
      <c r="G146">
        <v>3</v>
      </c>
      <c r="H146" s="10">
        <v>300000</v>
      </c>
      <c r="I146" s="10">
        <v>900000</v>
      </c>
      <c r="J146" s="10">
        <f t="shared" si="8"/>
        <v>900000</v>
      </c>
      <c r="K146" s="9" t="str">
        <f t="shared" si="9"/>
        <v>TRUE</v>
      </c>
      <c r="L146" t="s">
        <v>236</v>
      </c>
      <c r="M146" t="s">
        <v>240</v>
      </c>
    </row>
    <row r="147" spans="1:13" x14ac:dyDescent="0.3">
      <c r="A147" t="s">
        <v>155</v>
      </c>
      <c r="B147" s="15">
        <v>45361</v>
      </c>
      <c r="C147" s="13">
        <v>0</v>
      </c>
      <c r="D147" t="s">
        <v>211</v>
      </c>
      <c r="E147" t="s">
        <v>228</v>
      </c>
      <c r="F147" t="s">
        <v>233</v>
      </c>
      <c r="G147">
        <v>4</v>
      </c>
      <c r="H147" s="10">
        <v>350000</v>
      </c>
      <c r="I147" s="10">
        <v>1400000</v>
      </c>
      <c r="J147" s="10">
        <f t="shared" si="8"/>
        <v>1400000</v>
      </c>
      <c r="K147" s="9" t="str">
        <f t="shared" si="9"/>
        <v>TRUE</v>
      </c>
      <c r="L147" t="s">
        <v>236</v>
      </c>
      <c r="M147" t="s">
        <v>242</v>
      </c>
    </row>
    <row r="148" spans="1:13" x14ac:dyDescent="0.3">
      <c r="A148" t="s">
        <v>72</v>
      </c>
      <c r="B148" s="15">
        <v>45362</v>
      </c>
      <c r="C148" s="13">
        <v>0</v>
      </c>
      <c r="D148" t="s">
        <v>219</v>
      </c>
      <c r="E148" t="s">
        <v>227</v>
      </c>
      <c r="F148" t="s">
        <v>230</v>
      </c>
      <c r="G148">
        <v>4</v>
      </c>
      <c r="H148" s="10">
        <v>300000</v>
      </c>
      <c r="I148" s="10">
        <v>1200000</v>
      </c>
      <c r="J148" s="10">
        <f t="shared" si="8"/>
        <v>1200000</v>
      </c>
      <c r="K148" s="9" t="str">
        <f t="shared" si="9"/>
        <v>TRUE</v>
      </c>
      <c r="L148" t="s">
        <v>236</v>
      </c>
      <c r="M148" t="s">
        <v>241</v>
      </c>
    </row>
    <row r="149" spans="1:13" x14ac:dyDescent="0.3">
      <c r="A149" t="s">
        <v>39</v>
      </c>
      <c r="B149" s="15">
        <v>45359</v>
      </c>
      <c r="C149" s="13">
        <v>0</v>
      </c>
      <c r="D149" t="s">
        <v>212</v>
      </c>
      <c r="E149" t="s">
        <v>225</v>
      </c>
      <c r="F149" t="s">
        <v>231</v>
      </c>
      <c r="G149">
        <v>4</v>
      </c>
      <c r="H149" s="10">
        <v>350000</v>
      </c>
      <c r="I149" s="10">
        <v>1400000</v>
      </c>
      <c r="J149" s="10">
        <f t="shared" si="8"/>
        <v>1400000</v>
      </c>
      <c r="K149" s="9" t="str">
        <f t="shared" si="9"/>
        <v>TRUE</v>
      </c>
      <c r="L149" t="s">
        <v>234</v>
      </c>
      <c r="M149" t="s">
        <v>241</v>
      </c>
    </row>
    <row r="150" spans="1:13" x14ac:dyDescent="0.3">
      <c r="A150" t="s">
        <v>42</v>
      </c>
      <c r="B150" s="15">
        <v>45362</v>
      </c>
      <c r="C150" s="13">
        <v>0</v>
      </c>
      <c r="D150" t="s">
        <v>212</v>
      </c>
      <c r="E150" t="s">
        <v>223</v>
      </c>
      <c r="F150" t="s">
        <v>231</v>
      </c>
      <c r="G150">
        <v>5</v>
      </c>
      <c r="H150" s="10">
        <v>1250000</v>
      </c>
      <c r="I150" s="10">
        <v>6250000</v>
      </c>
      <c r="J150" s="10">
        <f t="shared" si="8"/>
        <v>6250000</v>
      </c>
      <c r="K150" s="9" t="str">
        <f t="shared" si="9"/>
        <v>TRUE</v>
      </c>
      <c r="L150" t="s">
        <v>236</v>
      </c>
      <c r="M150" t="s">
        <v>239</v>
      </c>
    </row>
    <row r="151" spans="1:13" x14ac:dyDescent="0.3">
      <c r="A151" t="s">
        <v>37</v>
      </c>
      <c r="B151" s="15">
        <v>45364</v>
      </c>
      <c r="C151" s="13">
        <v>0</v>
      </c>
      <c r="D151" t="s">
        <v>216</v>
      </c>
      <c r="E151" t="s">
        <v>220</v>
      </c>
      <c r="F151" t="s">
        <v>230</v>
      </c>
      <c r="G151">
        <v>1</v>
      </c>
      <c r="H151" s="10">
        <v>150000</v>
      </c>
      <c r="I151" s="10">
        <v>150000</v>
      </c>
      <c r="J151" s="10">
        <f t="shared" si="8"/>
        <v>150000</v>
      </c>
      <c r="K151" s="9" t="str">
        <f t="shared" si="9"/>
        <v>TRUE</v>
      </c>
      <c r="L151" t="s">
        <v>236</v>
      </c>
      <c r="M151" t="s">
        <v>240</v>
      </c>
    </row>
    <row r="152" spans="1:13" x14ac:dyDescent="0.3">
      <c r="A152" t="s">
        <v>83</v>
      </c>
      <c r="B152" s="15">
        <v>45365</v>
      </c>
      <c r="C152" s="13">
        <v>0</v>
      </c>
      <c r="D152" t="s">
        <v>218</v>
      </c>
      <c r="E152" t="s">
        <v>223</v>
      </c>
      <c r="F152" t="s">
        <v>231</v>
      </c>
      <c r="G152">
        <v>3</v>
      </c>
      <c r="H152" s="10">
        <v>1250000</v>
      </c>
      <c r="I152" s="10">
        <v>3750000</v>
      </c>
      <c r="J152" s="10">
        <f t="shared" si="8"/>
        <v>3750000</v>
      </c>
      <c r="K152" s="9" t="str">
        <f t="shared" si="9"/>
        <v>TRUE</v>
      </c>
      <c r="L152" t="s">
        <v>235</v>
      </c>
      <c r="M152" t="s">
        <v>239</v>
      </c>
    </row>
    <row r="153" spans="1:13" x14ac:dyDescent="0.3">
      <c r="A153" t="s">
        <v>173</v>
      </c>
      <c r="B153" s="15">
        <v>45367</v>
      </c>
      <c r="C153" s="13">
        <v>0</v>
      </c>
      <c r="D153" t="s">
        <v>219</v>
      </c>
      <c r="E153" t="s">
        <v>225</v>
      </c>
      <c r="F153" t="s">
        <v>231</v>
      </c>
      <c r="G153">
        <v>4</v>
      </c>
      <c r="H153" s="10">
        <v>350000</v>
      </c>
      <c r="I153" s="10">
        <v>1400000</v>
      </c>
      <c r="J153" s="10">
        <f t="shared" si="8"/>
        <v>1400000</v>
      </c>
      <c r="K153" s="9" t="str">
        <f t="shared" si="9"/>
        <v>TRUE</v>
      </c>
      <c r="L153" t="s">
        <v>235</v>
      </c>
      <c r="M153" t="s">
        <v>240</v>
      </c>
    </row>
    <row r="154" spans="1:13" x14ac:dyDescent="0.3">
      <c r="A154" t="s">
        <v>34</v>
      </c>
      <c r="B154" s="15">
        <v>45369</v>
      </c>
      <c r="C154" s="13">
        <v>0</v>
      </c>
      <c r="D154" t="s">
        <v>215</v>
      </c>
      <c r="E154" t="s">
        <v>223</v>
      </c>
      <c r="F154" t="s">
        <v>231</v>
      </c>
      <c r="G154">
        <v>2</v>
      </c>
      <c r="H154" s="10">
        <v>1250000</v>
      </c>
      <c r="I154" s="10">
        <v>2500000</v>
      </c>
      <c r="J154" s="10">
        <f t="shared" si="8"/>
        <v>2500000</v>
      </c>
      <c r="K154" s="9" t="str">
        <f t="shared" si="9"/>
        <v>TRUE</v>
      </c>
      <c r="L154" t="s">
        <v>234</v>
      </c>
      <c r="M154" t="s">
        <v>240</v>
      </c>
    </row>
    <row r="155" spans="1:13" x14ac:dyDescent="0.3">
      <c r="A155" t="s">
        <v>146</v>
      </c>
      <c r="B155" s="15">
        <v>45364</v>
      </c>
      <c r="C155" s="13">
        <v>0</v>
      </c>
      <c r="D155" t="s">
        <v>214</v>
      </c>
      <c r="E155" t="s">
        <v>225</v>
      </c>
      <c r="F155" t="s">
        <v>231</v>
      </c>
      <c r="G155">
        <v>1</v>
      </c>
      <c r="H155" s="10">
        <v>350000</v>
      </c>
      <c r="I155" s="10">
        <v>350000</v>
      </c>
      <c r="J155" s="10">
        <f t="shared" si="8"/>
        <v>350000</v>
      </c>
      <c r="K155" s="9" t="str">
        <f t="shared" si="9"/>
        <v>TRUE</v>
      </c>
      <c r="L155" t="s">
        <v>236</v>
      </c>
      <c r="M155" t="s">
        <v>238</v>
      </c>
    </row>
    <row r="156" spans="1:13" x14ac:dyDescent="0.3">
      <c r="A156" t="s">
        <v>147</v>
      </c>
      <c r="B156" s="15">
        <v>45372</v>
      </c>
      <c r="C156" s="13">
        <v>0</v>
      </c>
      <c r="D156" t="s">
        <v>211</v>
      </c>
      <c r="E156" t="s">
        <v>223</v>
      </c>
      <c r="F156" t="s">
        <v>231</v>
      </c>
      <c r="G156">
        <v>3</v>
      </c>
      <c r="H156" s="10">
        <v>1250000</v>
      </c>
      <c r="I156" s="10">
        <v>3750000</v>
      </c>
      <c r="J156" s="10">
        <f t="shared" si="8"/>
        <v>3750000</v>
      </c>
      <c r="K156" s="9" t="str">
        <f t="shared" si="9"/>
        <v>TRUE</v>
      </c>
      <c r="L156" t="s">
        <v>234</v>
      </c>
      <c r="M156" t="s">
        <v>238</v>
      </c>
    </row>
    <row r="157" spans="1:13" x14ac:dyDescent="0.3">
      <c r="A157" t="s">
        <v>143</v>
      </c>
      <c r="B157" s="15">
        <v>45364</v>
      </c>
      <c r="C157" s="13">
        <v>0</v>
      </c>
      <c r="D157" t="s">
        <v>212</v>
      </c>
      <c r="E157" t="s">
        <v>226</v>
      </c>
      <c r="F157" t="s">
        <v>232</v>
      </c>
      <c r="G157">
        <v>1</v>
      </c>
      <c r="H157" s="10">
        <v>25000</v>
      </c>
      <c r="I157" s="10">
        <v>25000</v>
      </c>
      <c r="J157" s="10">
        <f t="shared" si="8"/>
        <v>25000</v>
      </c>
      <c r="K157" s="9" t="str">
        <f t="shared" si="9"/>
        <v>TRUE</v>
      </c>
      <c r="L157" t="s">
        <v>236</v>
      </c>
      <c r="M157" t="s">
        <v>240</v>
      </c>
    </row>
    <row r="158" spans="1:13" x14ac:dyDescent="0.3">
      <c r="A158" t="s">
        <v>195</v>
      </c>
      <c r="B158" s="15">
        <v>45373</v>
      </c>
      <c r="C158" s="13">
        <v>0</v>
      </c>
      <c r="D158" t="s">
        <v>210</v>
      </c>
      <c r="E158" t="s">
        <v>223</v>
      </c>
      <c r="F158" t="s">
        <v>231</v>
      </c>
      <c r="G158">
        <v>5</v>
      </c>
      <c r="H158" s="10">
        <v>1250000</v>
      </c>
      <c r="I158" s="10">
        <v>6250000</v>
      </c>
      <c r="J158" s="10">
        <f t="shared" si="8"/>
        <v>6250000</v>
      </c>
      <c r="K158" s="9" t="str">
        <f t="shared" si="9"/>
        <v>TRUE</v>
      </c>
      <c r="L158" t="s">
        <v>234</v>
      </c>
      <c r="M158" t="s">
        <v>239</v>
      </c>
    </row>
    <row r="159" spans="1:13" x14ac:dyDescent="0.3">
      <c r="A159" t="s">
        <v>157</v>
      </c>
      <c r="B159" s="15">
        <v>45378</v>
      </c>
      <c r="C159" s="13">
        <v>0</v>
      </c>
      <c r="D159" t="s">
        <v>218</v>
      </c>
      <c r="E159" t="s">
        <v>225</v>
      </c>
      <c r="F159" t="s">
        <v>231</v>
      </c>
      <c r="G159">
        <v>5</v>
      </c>
      <c r="H159" s="10">
        <v>350000</v>
      </c>
      <c r="I159" s="10">
        <v>1750000</v>
      </c>
      <c r="J159" s="10">
        <f t="shared" si="8"/>
        <v>1750000</v>
      </c>
      <c r="K159" s="9" t="str">
        <f t="shared" si="9"/>
        <v>TRUE</v>
      </c>
      <c r="L159" t="s">
        <v>237</v>
      </c>
      <c r="M159" t="s">
        <v>240</v>
      </c>
    </row>
    <row r="160" spans="1:13" x14ac:dyDescent="0.3">
      <c r="A160" t="s">
        <v>204</v>
      </c>
      <c r="B160" s="15">
        <v>45378</v>
      </c>
      <c r="C160" s="13">
        <v>0</v>
      </c>
      <c r="D160" t="s">
        <v>218</v>
      </c>
      <c r="E160" t="s">
        <v>223</v>
      </c>
      <c r="F160" t="s">
        <v>231</v>
      </c>
      <c r="G160">
        <v>4</v>
      </c>
      <c r="H160" s="10">
        <v>1250000</v>
      </c>
      <c r="I160" s="10">
        <v>5000000</v>
      </c>
      <c r="J160" s="10">
        <f t="shared" si="8"/>
        <v>5000000</v>
      </c>
      <c r="K160" s="9" t="str">
        <f t="shared" si="9"/>
        <v>TRUE</v>
      </c>
      <c r="L160" t="s">
        <v>237</v>
      </c>
      <c r="M160" t="s">
        <v>240</v>
      </c>
    </row>
    <row r="161" spans="1:13" x14ac:dyDescent="0.3">
      <c r="A161" t="s">
        <v>136</v>
      </c>
      <c r="B161" s="15">
        <v>45367</v>
      </c>
      <c r="C161" s="13">
        <v>0</v>
      </c>
      <c r="D161" t="s">
        <v>210</v>
      </c>
      <c r="E161" t="s">
        <v>221</v>
      </c>
      <c r="F161" t="s">
        <v>230</v>
      </c>
      <c r="G161">
        <v>5</v>
      </c>
      <c r="H161" s="10">
        <v>2500000</v>
      </c>
      <c r="I161" s="10">
        <v>12500000</v>
      </c>
      <c r="J161" s="10">
        <f t="shared" si="8"/>
        <v>12500000</v>
      </c>
      <c r="K161" s="9" t="str">
        <f t="shared" si="9"/>
        <v>TRUE</v>
      </c>
      <c r="L161" t="s">
        <v>236</v>
      </c>
      <c r="M161" t="s">
        <v>238</v>
      </c>
    </row>
    <row r="162" spans="1:13" x14ac:dyDescent="0.3">
      <c r="A162" t="s">
        <v>202</v>
      </c>
      <c r="B162" s="15">
        <v>45293</v>
      </c>
      <c r="C162" s="13">
        <v>0</v>
      </c>
      <c r="D162" t="s">
        <v>211</v>
      </c>
      <c r="E162" t="s">
        <v>226</v>
      </c>
      <c r="F162" t="s">
        <v>232</v>
      </c>
      <c r="G162">
        <v>5</v>
      </c>
      <c r="H162" s="10">
        <v>25000</v>
      </c>
      <c r="I162" s="10">
        <v>125000</v>
      </c>
      <c r="J162" s="10">
        <f t="shared" ref="J162:J193" si="10">H162*G162</f>
        <v>125000</v>
      </c>
      <c r="K162" s="9" t="str">
        <f t="shared" ref="K162:K193" si="11">IF(J162=I162,"TRUE","FALSE")</f>
        <v>TRUE</v>
      </c>
      <c r="L162" t="s">
        <v>235</v>
      </c>
      <c r="M162" t="s">
        <v>241</v>
      </c>
    </row>
    <row r="163" spans="1:13" x14ac:dyDescent="0.3">
      <c r="A163" t="s">
        <v>121</v>
      </c>
      <c r="B163" s="15">
        <v>45297</v>
      </c>
      <c r="C163" s="13">
        <v>0</v>
      </c>
      <c r="D163" t="s">
        <v>213</v>
      </c>
      <c r="E163" t="s">
        <v>224</v>
      </c>
      <c r="F163" t="s">
        <v>232</v>
      </c>
      <c r="G163">
        <v>5</v>
      </c>
      <c r="H163" s="10">
        <v>5000</v>
      </c>
      <c r="I163" s="10">
        <v>25000</v>
      </c>
      <c r="J163" s="10">
        <f t="shared" si="10"/>
        <v>25000</v>
      </c>
      <c r="K163" s="9" t="str">
        <f t="shared" si="11"/>
        <v>TRUE</v>
      </c>
      <c r="L163" t="s">
        <v>237</v>
      </c>
      <c r="M163" t="s">
        <v>239</v>
      </c>
    </row>
    <row r="164" spans="1:13" x14ac:dyDescent="0.3">
      <c r="A164" t="s">
        <v>178</v>
      </c>
      <c r="B164" s="15">
        <v>45367</v>
      </c>
      <c r="C164" s="13">
        <v>0</v>
      </c>
      <c r="D164" t="s">
        <v>216</v>
      </c>
      <c r="E164" t="s">
        <v>224</v>
      </c>
      <c r="F164" t="s">
        <v>232</v>
      </c>
      <c r="G164">
        <v>1</v>
      </c>
      <c r="H164" s="10">
        <v>5000</v>
      </c>
      <c r="I164" s="10">
        <v>5000</v>
      </c>
      <c r="J164" s="10">
        <f t="shared" si="10"/>
        <v>5000</v>
      </c>
      <c r="K164" s="9" t="str">
        <f t="shared" si="11"/>
        <v>TRUE</v>
      </c>
      <c r="L164" t="s">
        <v>236</v>
      </c>
      <c r="M164" t="s">
        <v>240</v>
      </c>
    </row>
    <row r="165" spans="1:13" x14ac:dyDescent="0.3">
      <c r="A165" t="s">
        <v>16</v>
      </c>
      <c r="B165" s="15">
        <v>45304</v>
      </c>
      <c r="C165" s="13">
        <v>0</v>
      </c>
      <c r="D165" t="s">
        <v>214</v>
      </c>
      <c r="E165" t="s">
        <v>224</v>
      </c>
      <c r="F165" t="s">
        <v>232</v>
      </c>
      <c r="G165">
        <v>3</v>
      </c>
      <c r="H165" s="10">
        <v>5000</v>
      </c>
      <c r="I165" s="10">
        <v>15000</v>
      </c>
      <c r="J165" s="10">
        <f t="shared" si="10"/>
        <v>15000</v>
      </c>
      <c r="K165" s="9" t="str">
        <f t="shared" si="11"/>
        <v>TRUE</v>
      </c>
      <c r="L165" t="s">
        <v>237</v>
      </c>
      <c r="M165" t="s">
        <v>239</v>
      </c>
    </row>
    <row r="166" spans="1:13" x14ac:dyDescent="0.3">
      <c r="A166" t="s">
        <v>88</v>
      </c>
      <c r="B166" s="15">
        <v>45370</v>
      </c>
      <c r="C166" s="13">
        <v>0</v>
      </c>
      <c r="D166" t="s">
        <v>213</v>
      </c>
      <c r="E166" t="s">
        <v>225</v>
      </c>
      <c r="F166" t="s">
        <v>231</v>
      </c>
      <c r="G166">
        <v>3</v>
      </c>
      <c r="H166" s="10">
        <v>350000</v>
      </c>
      <c r="I166" s="10">
        <v>1050000</v>
      </c>
      <c r="J166" s="10">
        <f t="shared" si="10"/>
        <v>1050000</v>
      </c>
      <c r="K166" s="9" t="str">
        <f t="shared" si="11"/>
        <v>TRUE</v>
      </c>
      <c r="L166" t="s">
        <v>236</v>
      </c>
      <c r="M166" t="s">
        <v>241</v>
      </c>
    </row>
    <row r="167" spans="1:13" x14ac:dyDescent="0.3">
      <c r="A167" t="s">
        <v>66</v>
      </c>
      <c r="B167" s="15">
        <v>45309</v>
      </c>
      <c r="C167" s="13">
        <v>0</v>
      </c>
      <c r="D167" t="s">
        <v>211</v>
      </c>
      <c r="E167" t="s">
        <v>226</v>
      </c>
      <c r="F167" t="s">
        <v>232</v>
      </c>
      <c r="G167">
        <v>1</v>
      </c>
      <c r="H167" s="10">
        <v>25000</v>
      </c>
      <c r="I167" s="10">
        <v>25000</v>
      </c>
      <c r="J167" s="10">
        <f t="shared" si="10"/>
        <v>25000</v>
      </c>
      <c r="K167" s="9" t="str">
        <f t="shared" si="11"/>
        <v>TRUE</v>
      </c>
      <c r="L167" t="s">
        <v>234</v>
      </c>
      <c r="M167" t="s">
        <v>241</v>
      </c>
    </row>
    <row r="168" spans="1:13" x14ac:dyDescent="0.3">
      <c r="A168" t="s">
        <v>153</v>
      </c>
      <c r="B168" s="15">
        <v>45313</v>
      </c>
      <c r="C168" s="13">
        <v>0</v>
      </c>
      <c r="D168" t="s">
        <v>214</v>
      </c>
      <c r="E168" t="s">
        <v>226</v>
      </c>
      <c r="F168" t="s">
        <v>232</v>
      </c>
      <c r="G168">
        <v>5</v>
      </c>
      <c r="H168" s="10">
        <v>25000</v>
      </c>
      <c r="I168" s="10">
        <v>125000</v>
      </c>
      <c r="J168" s="10">
        <f t="shared" si="10"/>
        <v>125000</v>
      </c>
      <c r="K168" s="9" t="str">
        <f t="shared" si="11"/>
        <v>TRUE</v>
      </c>
      <c r="L168" t="s">
        <v>237</v>
      </c>
      <c r="M168" t="s">
        <v>242</v>
      </c>
    </row>
    <row r="169" spans="1:13" x14ac:dyDescent="0.3">
      <c r="A169" t="s">
        <v>29</v>
      </c>
      <c r="B169" s="15">
        <v>45372</v>
      </c>
      <c r="C169" s="13">
        <v>0</v>
      </c>
      <c r="D169" t="s">
        <v>214</v>
      </c>
      <c r="E169" t="s">
        <v>227</v>
      </c>
      <c r="F169" t="s">
        <v>230</v>
      </c>
      <c r="G169">
        <v>4</v>
      </c>
      <c r="H169" s="10">
        <v>300000</v>
      </c>
      <c r="I169" s="10">
        <v>1200000</v>
      </c>
      <c r="J169" s="10">
        <f t="shared" si="10"/>
        <v>1200000</v>
      </c>
      <c r="K169" s="9" t="str">
        <f t="shared" si="11"/>
        <v>TRUE</v>
      </c>
      <c r="L169" t="s">
        <v>236</v>
      </c>
      <c r="M169" t="s">
        <v>242</v>
      </c>
    </row>
    <row r="170" spans="1:13" x14ac:dyDescent="0.3">
      <c r="A170" t="s">
        <v>60</v>
      </c>
      <c r="B170" s="15">
        <v>45318</v>
      </c>
      <c r="C170" s="13">
        <v>0</v>
      </c>
      <c r="D170" t="s">
        <v>210</v>
      </c>
      <c r="E170" t="s">
        <v>224</v>
      </c>
      <c r="F170" t="s">
        <v>232</v>
      </c>
      <c r="G170">
        <v>2</v>
      </c>
      <c r="H170" s="10">
        <v>5000</v>
      </c>
      <c r="I170" s="10">
        <v>10000</v>
      </c>
      <c r="J170" s="10">
        <f t="shared" si="10"/>
        <v>10000</v>
      </c>
      <c r="K170" s="9" t="str">
        <f t="shared" si="11"/>
        <v>TRUE</v>
      </c>
      <c r="L170" t="s">
        <v>235</v>
      </c>
      <c r="M170" t="s">
        <v>238</v>
      </c>
    </row>
    <row r="171" spans="1:13" x14ac:dyDescent="0.3">
      <c r="A171" t="s">
        <v>43</v>
      </c>
      <c r="B171" s="15">
        <v>45372</v>
      </c>
      <c r="C171" s="13">
        <v>0</v>
      </c>
      <c r="D171" t="s">
        <v>211</v>
      </c>
      <c r="E171" t="s">
        <v>222</v>
      </c>
      <c r="F171" t="s">
        <v>230</v>
      </c>
      <c r="G171">
        <v>2</v>
      </c>
      <c r="H171" s="10">
        <v>10000000</v>
      </c>
      <c r="I171" s="10">
        <v>20000000</v>
      </c>
      <c r="J171" s="10">
        <f t="shared" si="10"/>
        <v>20000000</v>
      </c>
      <c r="K171" s="9" t="str">
        <f t="shared" si="11"/>
        <v>TRUE</v>
      </c>
      <c r="L171" t="s">
        <v>236</v>
      </c>
      <c r="M171" t="s">
        <v>241</v>
      </c>
    </row>
    <row r="172" spans="1:13" x14ac:dyDescent="0.3">
      <c r="A172" t="s">
        <v>196</v>
      </c>
      <c r="B172" s="15">
        <v>45372</v>
      </c>
      <c r="C172" s="13">
        <v>0</v>
      </c>
      <c r="D172" t="s">
        <v>216</v>
      </c>
      <c r="E172" t="s">
        <v>222</v>
      </c>
      <c r="F172" t="s">
        <v>230</v>
      </c>
      <c r="G172">
        <v>3</v>
      </c>
      <c r="H172" s="10">
        <v>10000000</v>
      </c>
      <c r="I172" s="10">
        <v>30000000</v>
      </c>
      <c r="J172" s="10">
        <f t="shared" si="10"/>
        <v>30000000</v>
      </c>
      <c r="K172" s="9" t="str">
        <f t="shared" si="11"/>
        <v>TRUE</v>
      </c>
      <c r="L172" t="s">
        <v>236</v>
      </c>
      <c r="M172" t="s">
        <v>240</v>
      </c>
    </row>
    <row r="173" spans="1:13" x14ac:dyDescent="0.3">
      <c r="A173" t="s">
        <v>92</v>
      </c>
      <c r="B173" s="15">
        <v>45322</v>
      </c>
      <c r="C173" s="13">
        <v>0</v>
      </c>
      <c r="D173" t="s">
        <v>212</v>
      </c>
      <c r="E173" t="s">
        <v>226</v>
      </c>
      <c r="F173" t="s">
        <v>232</v>
      </c>
      <c r="G173">
        <v>2</v>
      </c>
      <c r="H173" s="10">
        <v>25000</v>
      </c>
      <c r="I173" s="10">
        <v>50000</v>
      </c>
      <c r="J173" s="10">
        <f t="shared" si="10"/>
        <v>50000</v>
      </c>
      <c r="K173" s="9" t="str">
        <f t="shared" si="11"/>
        <v>TRUE</v>
      </c>
      <c r="L173" t="s">
        <v>234</v>
      </c>
      <c r="M173" t="s">
        <v>239</v>
      </c>
    </row>
    <row r="174" spans="1:13" x14ac:dyDescent="0.3">
      <c r="A174" t="s">
        <v>151</v>
      </c>
      <c r="B174" s="15">
        <v>45372</v>
      </c>
      <c r="C174" s="13">
        <v>0</v>
      </c>
      <c r="D174" t="s">
        <v>213</v>
      </c>
      <c r="E174" t="s">
        <v>225</v>
      </c>
      <c r="F174" t="s">
        <v>231</v>
      </c>
      <c r="G174">
        <v>2</v>
      </c>
      <c r="H174" s="10">
        <v>350000</v>
      </c>
      <c r="I174" s="10">
        <v>700000</v>
      </c>
      <c r="J174" s="10">
        <f t="shared" si="10"/>
        <v>700000</v>
      </c>
      <c r="K174" s="9" t="str">
        <f t="shared" si="11"/>
        <v>TRUE</v>
      </c>
      <c r="L174" t="s">
        <v>236</v>
      </c>
      <c r="M174" t="s">
        <v>240</v>
      </c>
    </row>
    <row r="175" spans="1:13" x14ac:dyDescent="0.3">
      <c r="A175" t="s">
        <v>64</v>
      </c>
      <c r="B175" s="15">
        <v>45323</v>
      </c>
      <c r="C175" s="13">
        <v>0</v>
      </c>
      <c r="D175" t="s">
        <v>219</v>
      </c>
      <c r="E175" t="s">
        <v>224</v>
      </c>
      <c r="F175" t="s">
        <v>232</v>
      </c>
      <c r="G175">
        <v>3</v>
      </c>
      <c r="H175" s="10">
        <v>5000</v>
      </c>
      <c r="I175" s="10">
        <v>15000</v>
      </c>
      <c r="J175" s="10">
        <f t="shared" si="10"/>
        <v>15000</v>
      </c>
      <c r="K175" s="9" t="str">
        <f t="shared" si="11"/>
        <v>TRUE</v>
      </c>
      <c r="L175" t="s">
        <v>235</v>
      </c>
      <c r="M175" t="s">
        <v>240</v>
      </c>
    </row>
    <row r="176" spans="1:13" x14ac:dyDescent="0.3">
      <c r="A176" t="s">
        <v>150</v>
      </c>
      <c r="B176" s="15">
        <v>45328</v>
      </c>
      <c r="C176" s="13">
        <v>0</v>
      </c>
      <c r="D176" t="s">
        <v>211</v>
      </c>
      <c r="E176" t="s">
        <v>226</v>
      </c>
      <c r="F176" t="s">
        <v>232</v>
      </c>
      <c r="G176">
        <v>4</v>
      </c>
      <c r="H176" s="10">
        <v>25000</v>
      </c>
      <c r="I176" s="10">
        <v>100000</v>
      </c>
      <c r="J176" s="10">
        <f t="shared" si="10"/>
        <v>100000</v>
      </c>
      <c r="K176" s="9" t="str">
        <f t="shared" si="11"/>
        <v>TRUE</v>
      </c>
      <c r="L176" t="s">
        <v>234</v>
      </c>
      <c r="M176" t="s">
        <v>241</v>
      </c>
    </row>
    <row r="177" spans="1:13" x14ac:dyDescent="0.3">
      <c r="A177" t="s">
        <v>185</v>
      </c>
      <c r="B177" s="15">
        <v>45329</v>
      </c>
      <c r="C177" s="13">
        <v>0</v>
      </c>
      <c r="D177" t="s">
        <v>213</v>
      </c>
      <c r="E177" t="s">
        <v>224</v>
      </c>
      <c r="F177" t="s">
        <v>232</v>
      </c>
      <c r="G177">
        <v>3</v>
      </c>
      <c r="H177" s="10">
        <v>5000</v>
      </c>
      <c r="I177" s="10">
        <v>15000</v>
      </c>
      <c r="J177" s="10">
        <f t="shared" si="10"/>
        <v>15000</v>
      </c>
      <c r="K177" s="9" t="str">
        <f t="shared" si="11"/>
        <v>TRUE</v>
      </c>
      <c r="L177" t="s">
        <v>234</v>
      </c>
      <c r="M177" t="s">
        <v>238</v>
      </c>
    </row>
    <row r="178" spans="1:13" x14ac:dyDescent="0.3">
      <c r="A178" t="s">
        <v>79</v>
      </c>
      <c r="B178" s="15">
        <v>45334</v>
      </c>
      <c r="C178" s="13">
        <v>0</v>
      </c>
      <c r="D178" t="s">
        <v>210</v>
      </c>
      <c r="E178" t="s">
        <v>226</v>
      </c>
      <c r="F178" t="s">
        <v>232</v>
      </c>
      <c r="G178">
        <v>1</v>
      </c>
      <c r="H178" s="10">
        <v>25000</v>
      </c>
      <c r="I178" s="10">
        <v>25000</v>
      </c>
      <c r="J178" s="10">
        <f t="shared" si="10"/>
        <v>25000</v>
      </c>
      <c r="K178" s="9" t="str">
        <f t="shared" si="11"/>
        <v>TRUE</v>
      </c>
      <c r="L178" t="s">
        <v>237</v>
      </c>
      <c r="M178" t="s">
        <v>240</v>
      </c>
    </row>
    <row r="179" spans="1:13" x14ac:dyDescent="0.3">
      <c r="A179" t="s">
        <v>128</v>
      </c>
      <c r="B179" s="15">
        <v>45337</v>
      </c>
      <c r="C179" s="13">
        <v>0</v>
      </c>
      <c r="D179" t="s">
        <v>210</v>
      </c>
      <c r="E179" t="s">
        <v>226</v>
      </c>
      <c r="F179" t="s">
        <v>232</v>
      </c>
      <c r="G179">
        <v>3</v>
      </c>
      <c r="H179" s="10">
        <v>25000</v>
      </c>
      <c r="I179" s="10">
        <v>75000</v>
      </c>
      <c r="J179" s="10">
        <f t="shared" si="10"/>
        <v>75000</v>
      </c>
      <c r="K179" s="9" t="str">
        <f t="shared" si="11"/>
        <v>TRUE</v>
      </c>
      <c r="L179" t="s">
        <v>237</v>
      </c>
      <c r="M179" t="s">
        <v>240</v>
      </c>
    </row>
    <row r="180" spans="1:13" x14ac:dyDescent="0.3">
      <c r="A180" t="s">
        <v>20</v>
      </c>
      <c r="B180" s="15">
        <v>45340</v>
      </c>
      <c r="C180" s="13">
        <v>0</v>
      </c>
      <c r="D180" t="s">
        <v>215</v>
      </c>
      <c r="E180" t="s">
        <v>226</v>
      </c>
      <c r="F180" t="s">
        <v>232</v>
      </c>
      <c r="G180">
        <v>4</v>
      </c>
      <c r="H180" s="10">
        <v>25000</v>
      </c>
      <c r="I180" s="10">
        <v>100000</v>
      </c>
      <c r="J180" s="10">
        <f t="shared" si="10"/>
        <v>100000</v>
      </c>
      <c r="K180" s="9" t="str">
        <f t="shared" si="11"/>
        <v>TRUE</v>
      </c>
      <c r="L180" t="s">
        <v>234</v>
      </c>
      <c r="M180" t="s">
        <v>241</v>
      </c>
    </row>
    <row r="181" spans="1:13" x14ac:dyDescent="0.3">
      <c r="A181" t="s">
        <v>24</v>
      </c>
      <c r="B181" s="15">
        <v>45343</v>
      </c>
      <c r="C181" s="13">
        <v>0</v>
      </c>
      <c r="D181" t="s">
        <v>212</v>
      </c>
      <c r="E181" t="s">
        <v>226</v>
      </c>
      <c r="F181" t="s">
        <v>232</v>
      </c>
      <c r="G181">
        <v>1</v>
      </c>
      <c r="H181" s="10">
        <v>25000</v>
      </c>
      <c r="I181" s="10">
        <v>25000</v>
      </c>
      <c r="J181" s="10">
        <f t="shared" si="10"/>
        <v>25000</v>
      </c>
      <c r="K181" s="9" t="str">
        <f t="shared" si="11"/>
        <v>TRUE</v>
      </c>
      <c r="L181" t="s">
        <v>237</v>
      </c>
      <c r="M181" t="s">
        <v>238</v>
      </c>
    </row>
    <row r="182" spans="1:13" x14ac:dyDescent="0.3">
      <c r="A182" t="s">
        <v>40</v>
      </c>
      <c r="B182" s="15">
        <v>45343</v>
      </c>
      <c r="C182" s="13">
        <v>0</v>
      </c>
      <c r="D182" t="s">
        <v>217</v>
      </c>
      <c r="E182" t="s">
        <v>224</v>
      </c>
      <c r="F182" t="s">
        <v>232</v>
      </c>
      <c r="G182">
        <v>4</v>
      </c>
      <c r="H182" s="10">
        <v>5000</v>
      </c>
      <c r="I182" s="10">
        <v>20000</v>
      </c>
      <c r="J182" s="10">
        <f t="shared" si="10"/>
        <v>20000</v>
      </c>
      <c r="K182" s="9" t="str">
        <f t="shared" si="11"/>
        <v>TRUE</v>
      </c>
      <c r="L182" t="s">
        <v>235</v>
      </c>
      <c r="M182" t="s">
        <v>239</v>
      </c>
    </row>
    <row r="183" spans="1:13" x14ac:dyDescent="0.3">
      <c r="A183" t="s">
        <v>61</v>
      </c>
      <c r="B183" s="15">
        <v>45377</v>
      </c>
      <c r="C183" s="13">
        <v>0</v>
      </c>
      <c r="D183" t="s">
        <v>215</v>
      </c>
      <c r="E183" t="s">
        <v>226</v>
      </c>
      <c r="F183" t="s">
        <v>232</v>
      </c>
      <c r="G183">
        <v>4</v>
      </c>
      <c r="H183" s="10">
        <v>25000</v>
      </c>
      <c r="I183" s="10">
        <v>100000</v>
      </c>
      <c r="J183" s="10">
        <f t="shared" si="10"/>
        <v>100000</v>
      </c>
      <c r="K183" s="9" t="str">
        <f t="shared" si="11"/>
        <v>TRUE</v>
      </c>
      <c r="L183" t="s">
        <v>236</v>
      </c>
      <c r="M183" t="s">
        <v>239</v>
      </c>
    </row>
    <row r="184" spans="1:13" x14ac:dyDescent="0.3">
      <c r="A184" t="s">
        <v>123</v>
      </c>
      <c r="B184" s="15">
        <v>45347</v>
      </c>
      <c r="C184" s="13">
        <v>0</v>
      </c>
      <c r="D184" t="s">
        <v>219</v>
      </c>
      <c r="E184" t="s">
        <v>224</v>
      </c>
      <c r="F184" t="s">
        <v>232</v>
      </c>
      <c r="G184">
        <v>4</v>
      </c>
      <c r="H184" s="10">
        <v>5000</v>
      </c>
      <c r="I184" s="10">
        <v>20000</v>
      </c>
      <c r="J184" s="10">
        <f t="shared" si="10"/>
        <v>20000</v>
      </c>
      <c r="K184" s="9" t="str">
        <f t="shared" si="11"/>
        <v>TRUE</v>
      </c>
      <c r="L184" t="s">
        <v>235</v>
      </c>
      <c r="M184" t="s">
        <v>238</v>
      </c>
    </row>
    <row r="185" spans="1:13" x14ac:dyDescent="0.3">
      <c r="A185" t="s">
        <v>190</v>
      </c>
      <c r="B185" s="15">
        <v>45348</v>
      </c>
      <c r="C185" s="13">
        <v>0</v>
      </c>
      <c r="D185" t="s">
        <v>210</v>
      </c>
      <c r="E185" t="s">
        <v>224</v>
      </c>
      <c r="F185" t="s">
        <v>232</v>
      </c>
      <c r="G185">
        <v>5</v>
      </c>
      <c r="H185" s="10">
        <v>5000</v>
      </c>
      <c r="I185" s="10">
        <v>25000</v>
      </c>
      <c r="J185" s="10">
        <f t="shared" si="10"/>
        <v>25000</v>
      </c>
      <c r="K185" s="9" t="str">
        <f t="shared" si="11"/>
        <v>TRUE</v>
      </c>
      <c r="L185" t="s">
        <v>235</v>
      </c>
      <c r="M185" t="s">
        <v>241</v>
      </c>
    </row>
    <row r="186" spans="1:13" x14ac:dyDescent="0.3">
      <c r="A186" t="s">
        <v>54</v>
      </c>
      <c r="B186" s="15">
        <v>45350</v>
      </c>
      <c r="C186" s="13">
        <v>0</v>
      </c>
      <c r="D186" t="s">
        <v>217</v>
      </c>
      <c r="E186" t="s">
        <v>226</v>
      </c>
      <c r="F186" t="s">
        <v>232</v>
      </c>
      <c r="G186">
        <v>4</v>
      </c>
      <c r="H186" s="10">
        <v>25000</v>
      </c>
      <c r="I186" s="10">
        <v>100000</v>
      </c>
      <c r="J186" s="10">
        <f t="shared" si="10"/>
        <v>100000</v>
      </c>
      <c r="K186" s="9" t="str">
        <f t="shared" si="11"/>
        <v>TRUE</v>
      </c>
      <c r="L186" t="s">
        <v>235</v>
      </c>
      <c r="M186" t="s">
        <v>238</v>
      </c>
    </row>
    <row r="187" spans="1:13" x14ac:dyDescent="0.3">
      <c r="A187" t="s">
        <v>191</v>
      </c>
      <c r="B187" s="15">
        <v>45350</v>
      </c>
      <c r="C187" s="13">
        <v>0</v>
      </c>
      <c r="D187" t="s">
        <v>213</v>
      </c>
      <c r="E187" t="s">
        <v>226</v>
      </c>
      <c r="F187" t="s">
        <v>232</v>
      </c>
      <c r="G187">
        <v>2</v>
      </c>
      <c r="H187" s="10">
        <v>25000</v>
      </c>
      <c r="I187" s="10">
        <v>50000</v>
      </c>
      <c r="J187" s="10">
        <f t="shared" si="10"/>
        <v>50000</v>
      </c>
      <c r="K187" s="9" t="str">
        <f t="shared" si="11"/>
        <v>TRUE</v>
      </c>
      <c r="L187" t="s">
        <v>235</v>
      </c>
      <c r="M187" t="s">
        <v>239</v>
      </c>
    </row>
    <row r="188" spans="1:13" x14ac:dyDescent="0.3">
      <c r="A188" t="s">
        <v>180</v>
      </c>
      <c r="B188" s="15">
        <v>45352</v>
      </c>
      <c r="C188" s="13">
        <v>0</v>
      </c>
      <c r="D188" t="s">
        <v>214</v>
      </c>
      <c r="E188" t="s">
        <v>226</v>
      </c>
      <c r="F188" t="s">
        <v>232</v>
      </c>
      <c r="G188">
        <v>3</v>
      </c>
      <c r="H188" s="10">
        <v>25000</v>
      </c>
      <c r="I188" s="10">
        <v>75000</v>
      </c>
      <c r="J188" s="10">
        <f t="shared" si="10"/>
        <v>75000</v>
      </c>
      <c r="K188" s="9" t="str">
        <f t="shared" si="11"/>
        <v>TRUE</v>
      </c>
      <c r="L188" t="s">
        <v>235</v>
      </c>
      <c r="M188" t="s">
        <v>239</v>
      </c>
    </row>
    <row r="189" spans="1:13" x14ac:dyDescent="0.3">
      <c r="A189" t="s">
        <v>174</v>
      </c>
      <c r="B189" s="15">
        <v>45353</v>
      </c>
      <c r="C189" s="13">
        <v>0</v>
      </c>
      <c r="D189" t="s">
        <v>217</v>
      </c>
      <c r="E189" t="s">
        <v>224</v>
      </c>
      <c r="F189" t="s">
        <v>232</v>
      </c>
      <c r="G189">
        <v>3</v>
      </c>
      <c r="H189" s="10">
        <v>5000</v>
      </c>
      <c r="I189" s="10">
        <v>15000</v>
      </c>
      <c r="J189" s="10">
        <f t="shared" si="10"/>
        <v>15000</v>
      </c>
      <c r="K189" s="9" t="str">
        <f t="shared" si="11"/>
        <v>TRUE</v>
      </c>
      <c r="L189" t="s">
        <v>235</v>
      </c>
      <c r="M189" t="s">
        <v>242</v>
      </c>
    </row>
    <row r="190" spans="1:13" x14ac:dyDescent="0.3">
      <c r="A190" t="s">
        <v>194</v>
      </c>
      <c r="B190" s="15">
        <v>45355</v>
      </c>
      <c r="C190" s="13">
        <v>0</v>
      </c>
      <c r="D190" t="s">
        <v>214</v>
      </c>
      <c r="E190" t="s">
        <v>226</v>
      </c>
      <c r="F190" t="s">
        <v>232</v>
      </c>
      <c r="G190">
        <v>2</v>
      </c>
      <c r="H190" s="10">
        <v>25000</v>
      </c>
      <c r="I190" s="10">
        <v>50000</v>
      </c>
      <c r="J190" s="10">
        <f t="shared" si="10"/>
        <v>50000</v>
      </c>
      <c r="K190" s="9" t="str">
        <f t="shared" si="11"/>
        <v>TRUE</v>
      </c>
      <c r="L190" t="s">
        <v>237</v>
      </c>
      <c r="M190" t="s">
        <v>238</v>
      </c>
    </row>
    <row r="191" spans="1:13" x14ac:dyDescent="0.3">
      <c r="A191" t="s">
        <v>86</v>
      </c>
      <c r="B191" s="15">
        <v>45356</v>
      </c>
      <c r="C191" s="13">
        <v>0</v>
      </c>
      <c r="D191" t="s">
        <v>215</v>
      </c>
      <c r="E191" t="s">
        <v>226</v>
      </c>
      <c r="F191" t="s">
        <v>232</v>
      </c>
      <c r="G191">
        <v>4</v>
      </c>
      <c r="H191" s="10">
        <v>25000</v>
      </c>
      <c r="I191" s="10">
        <v>100000</v>
      </c>
      <c r="J191" s="10">
        <f t="shared" si="10"/>
        <v>100000</v>
      </c>
      <c r="K191" s="9" t="str">
        <f t="shared" si="11"/>
        <v>TRUE</v>
      </c>
      <c r="L191" t="s">
        <v>235</v>
      </c>
      <c r="M191" t="s">
        <v>241</v>
      </c>
    </row>
    <row r="192" spans="1:13" x14ac:dyDescent="0.3">
      <c r="A192" t="s">
        <v>122</v>
      </c>
      <c r="B192" s="15">
        <v>45356</v>
      </c>
      <c r="C192" s="13">
        <v>0</v>
      </c>
      <c r="D192" t="s">
        <v>213</v>
      </c>
      <c r="E192" t="s">
        <v>224</v>
      </c>
      <c r="F192" t="s">
        <v>232</v>
      </c>
      <c r="G192">
        <v>1</v>
      </c>
      <c r="H192" s="10">
        <v>5000</v>
      </c>
      <c r="I192" s="10">
        <v>5000</v>
      </c>
      <c r="J192" s="10">
        <f t="shared" si="10"/>
        <v>5000</v>
      </c>
      <c r="K192" s="9" t="str">
        <f t="shared" si="11"/>
        <v>TRUE</v>
      </c>
      <c r="L192" t="s">
        <v>235</v>
      </c>
      <c r="M192" t="s">
        <v>239</v>
      </c>
    </row>
    <row r="193" spans="1:13" x14ac:dyDescent="0.3">
      <c r="A193" t="s">
        <v>199</v>
      </c>
      <c r="B193" s="15">
        <v>45356</v>
      </c>
      <c r="C193" s="13">
        <v>0</v>
      </c>
      <c r="D193" t="s">
        <v>210</v>
      </c>
      <c r="E193" t="s">
        <v>226</v>
      </c>
      <c r="F193" t="s">
        <v>232</v>
      </c>
      <c r="G193">
        <v>2</v>
      </c>
      <c r="H193" s="10">
        <v>25000</v>
      </c>
      <c r="I193" s="10">
        <v>50000</v>
      </c>
      <c r="J193" s="10">
        <f t="shared" si="10"/>
        <v>50000</v>
      </c>
      <c r="K193" s="9" t="str">
        <f t="shared" si="11"/>
        <v>TRUE</v>
      </c>
      <c r="L193" t="s">
        <v>235</v>
      </c>
      <c r="M193" t="s">
        <v>241</v>
      </c>
    </row>
    <row r="194" spans="1:13" x14ac:dyDescent="0.3">
      <c r="A194" t="s">
        <v>124</v>
      </c>
      <c r="B194" s="15">
        <v>45358</v>
      </c>
      <c r="C194" s="13">
        <v>0</v>
      </c>
      <c r="D194" t="s">
        <v>217</v>
      </c>
      <c r="E194" t="s">
        <v>226</v>
      </c>
      <c r="F194" t="s">
        <v>232</v>
      </c>
      <c r="G194">
        <v>5</v>
      </c>
      <c r="H194" s="10">
        <v>25000</v>
      </c>
      <c r="I194" s="10">
        <v>125000</v>
      </c>
      <c r="J194" s="10">
        <f t="shared" ref="J194:J201" si="12">H194*G194</f>
        <v>125000</v>
      </c>
      <c r="K194" s="9" t="str">
        <f t="shared" ref="K194:K225" si="13">IF(J194=I194,"TRUE","FALSE")</f>
        <v>TRUE</v>
      </c>
      <c r="L194" t="s">
        <v>235</v>
      </c>
      <c r="M194" t="s">
        <v>242</v>
      </c>
    </row>
    <row r="195" spans="1:13" x14ac:dyDescent="0.3">
      <c r="A195" t="s">
        <v>133</v>
      </c>
      <c r="B195" s="15">
        <v>45362</v>
      </c>
      <c r="C195" s="13">
        <v>0</v>
      </c>
      <c r="D195" t="s">
        <v>216</v>
      </c>
      <c r="E195" t="s">
        <v>224</v>
      </c>
      <c r="F195" t="s">
        <v>232</v>
      </c>
      <c r="G195">
        <v>3</v>
      </c>
      <c r="H195" s="10">
        <v>5000</v>
      </c>
      <c r="I195" s="10">
        <v>15000</v>
      </c>
      <c r="J195" s="10">
        <f t="shared" si="12"/>
        <v>15000</v>
      </c>
      <c r="K195" s="9" t="str">
        <f t="shared" si="13"/>
        <v>TRUE</v>
      </c>
      <c r="L195" t="s">
        <v>237</v>
      </c>
      <c r="M195" t="s">
        <v>241</v>
      </c>
    </row>
    <row r="196" spans="1:13" x14ac:dyDescent="0.3">
      <c r="A196" t="s">
        <v>85</v>
      </c>
      <c r="B196" s="15">
        <v>45377</v>
      </c>
      <c r="C196" s="13">
        <v>0</v>
      </c>
      <c r="D196" t="s">
        <v>215</v>
      </c>
      <c r="E196" t="s">
        <v>224</v>
      </c>
      <c r="F196" t="s">
        <v>232</v>
      </c>
      <c r="G196">
        <v>5</v>
      </c>
      <c r="H196" s="10">
        <v>5000</v>
      </c>
      <c r="I196" s="10">
        <v>25000</v>
      </c>
      <c r="J196" s="10">
        <f t="shared" si="12"/>
        <v>25000</v>
      </c>
      <c r="K196" s="9" t="str">
        <f t="shared" si="13"/>
        <v>TRUE</v>
      </c>
      <c r="L196" t="s">
        <v>236</v>
      </c>
      <c r="M196" t="s">
        <v>241</v>
      </c>
    </row>
    <row r="197" spans="1:13" x14ac:dyDescent="0.3">
      <c r="A197" t="s">
        <v>119</v>
      </c>
      <c r="B197" s="15">
        <v>45378</v>
      </c>
      <c r="C197" s="13">
        <v>0</v>
      </c>
      <c r="D197" t="s">
        <v>212</v>
      </c>
      <c r="E197" t="s">
        <v>229</v>
      </c>
      <c r="F197" t="s">
        <v>233</v>
      </c>
      <c r="G197">
        <v>4</v>
      </c>
      <c r="H197" s="10">
        <v>75000</v>
      </c>
      <c r="I197" s="10">
        <v>300000</v>
      </c>
      <c r="J197" s="10">
        <f t="shared" si="12"/>
        <v>300000</v>
      </c>
      <c r="K197" s="9" t="str">
        <f t="shared" si="13"/>
        <v>TRUE</v>
      </c>
      <c r="L197" t="s">
        <v>236</v>
      </c>
      <c r="M197" t="s">
        <v>240</v>
      </c>
    </row>
    <row r="198" spans="1:13" x14ac:dyDescent="0.3">
      <c r="A198" t="s">
        <v>201</v>
      </c>
      <c r="B198" s="15">
        <v>45378</v>
      </c>
      <c r="C198" s="13">
        <v>0</v>
      </c>
      <c r="D198" t="s">
        <v>215</v>
      </c>
      <c r="E198" t="s">
        <v>229</v>
      </c>
      <c r="F198" t="s">
        <v>233</v>
      </c>
      <c r="G198">
        <v>5</v>
      </c>
      <c r="H198" s="10">
        <v>75000</v>
      </c>
      <c r="I198" s="10">
        <v>375000</v>
      </c>
      <c r="J198" s="10">
        <f t="shared" si="12"/>
        <v>375000</v>
      </c>
      <c r="K198" s="9" t="str">
        <f t="shared" si="13"/>
        <v>TRUE</v>
      </c>
      <c r="L198" t="s">
        <v>236</v>
      </c>
      <c r="M198" t="s">
        <v>242</v>
      </c>
    </row>
    <row r="199" spans="1:13" x14ac:dyDescent="0.3">
      <c r="A199" t="s">
        <v>120</v>
      </c>
      <c r="B199" s="15">
        <v>45380</v>
      </c>
      <c r="C199" s="13">
        <v>0</v>
      </c>
      <c r="D199" t="s">
        <v>210</v>
      </c>
      <c r="E199" t="s">
        <v>223</v>
      </c>
      <c r="F199" t="s">
        <v>231</v>
      </c>
      <c r="G199">
        <v>1</v>
      </c>
      <c r="H199" s="10">
        <v>1250000</v>
      </c>
      <c r="I199" s="10">
        <v>1250000</v>
      </c>
      <c r="J199" s="10">
        <f t="shared" si="12"/>
        <v>1250000</v>
      </c>
      <c r="K199" s="9" t="str">
        <f t="shared" si="13"/>
        <v>TRUE</v>
      </c>
      <c r="L199" t="s">
        <v>236</v>
      </c>
      <c r="M199" t="s">
        <v>240</v>
      </c>
    </row>
    <row r="200" spans="1:13" x14ac:dyDescent="0.3">
      <c r="A200" t="s">
        <v>203</v>
      </c>
      <c r="B200" s="15">
        <v>45378</v>
      </c>
      <c r="C200" s="13">
        <v>0</v>
      </c>
      <c r="D200" t="s">
        <v>213</v>
      </c>
      <c r="E200" t="s">
        <v>226</v>
      </c>
      <c r="F200" t="s">
        <v>232</v>
      </c>
      <c r="G200">
        <v>5</v>
      </c>
      <c r="H200" s="10">
        <v>25000</v>
      </c>
      <c r="I200" s="10">
        <v>125000</v>
      </c>
      <c r="J200" s="10">
        <f t="shared" si="12"/>
        <v>125000</v>
      </c>
      <c r="K200" s="9" t="str">
        <f t="shared" si="13"/>
        <v>TRUE</v>
      </c>
      <c r="L200" t="s">
        <v>237</v>
      </c>
      <c r="M200" t="s">
        <v>239</v>
      </c>
    </row>
    <row r="201" spans="1:13" x14ac:dyDescent="0.3">
      <c r="A201" t="s">
        <v>184</v>
      </c>
      <c r="B201" s="15">
        <v>45380</v>
      </c>
      <c r="C201" s="13">
        <v>0</v>
      </c>
      <c r="D201" t="s">
        <v>218</v>
      </c>
      <c r="E201" t="s">
        <v>226</v>
      </c>
      <c r="F201" t="s">
        <v>232</v>
      </c>
      <c r="G201">
        <v>1</v>
      </c>
      <c r="H201" s="10">
        <v>25000</v>
      </c>
      <c r="I201" s="10">
        <v>25000</v>
      </c>
      <c r="J201" s="10">
        <f t="shared" si="12"/>
        <v>25000</v>
      </c>
      <c r="K201" s="9" t="str">
        <f t="shared" si="13"/>
        <v>TRUE</v>
      </c>
      <c r="L201" t="s">
        <v>237</v>
      </c>
      <c r="M201" t="s">
        <v>239</v>
      </c>
    </row>
    <row r="205" spans="1:13" x14ac:dyDescent="0.3">
      <c r="A205">
        <f>COUNT(UNIQuE,A2:A201)</f>
        <v>0</v>
      </c>
    </row>
  </sheetData>
  <autoFilter ref="A1:M201" xr:uid="{00000000-0001-0000-0000-000000000000}">
    <sortState xmlns:xlrd2="http://schemas.microsoft.com/office/spreadsheetml/2017/richdata2" ref="A2:M199">
      <sortCondition ref="B1:B201"/>
    </sortState>
  </autoFilter>
  <conditionalFormatting sqref="A1:A1048576">
    <cfRule type="duplicateValues" dxfId="12" priority="4"/>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86431-6B24-4139-8235-94B0E355BAC6}">
  <dimension ref="A1:Z50"/>
  <sheetViews>
    <sheetView showGridLines="0" showRowColHeaders="0" tabSelected="1" zoomScale="83" zoomScaleNormal="55" workbookViewId="0">
      <selection activeCell="E48" sqref="E48"/>
    </sheetView>
  </sheetViews>
  <sheetFormatPr defaultRowHeight="16.5" x14ac:dyDescent="0.3"/>
  <cols>
    <col min="1" max="1" width="15.375" bestFit="1" customWidth="1"/>
    <col min="2" max="2" width="16.625" bestFit="1" customWidth="1"/>
    <col min="3" max="3" width="7.75" bestFit="1" customWidth="1"/>
    <col min="4" max="4" width="7.5" bestFit="1" customWidth="1"/>
    <col min="5" max="5" width="9.75" bestFit="1" customWidth="1"/>
    <col min="6" max="6" width="11.625" bestFit="1" customWidth="1"/>
    <col min="7" max="7" width="11.5" bestFit="1" customWidth="1"/>
    <col min="11" max="11" width="51" customWidth="1"/>
    <col min="18" max="18" width="23.75" bestFit="1" customWidth="1"/>
    <col min="19" max="19" width="19.875" customWidth="1"/>
    <col min="21" max="21" width="20.75" bestFit="1" customWidth="1"/>
    <col min="24" max="24" width="36.75" customWidth="1"/>
  </cols>
  <sheetData>
    <row r="1" spans="1:26" x14ac:dyDescent="0.3">
      <c r="K1" s="38" t="s">
        <v>269</v>
      </c>
      <c r="L1" s="39"/>
      <c r="M1" s="39"/>
      <c r="N1" s="39"/>
      <c r="O1" s="39"/>
      <c r="P1" s="39"/>
      <c r="Q1" s="39"/>
      <c r="R1" s="39"/>
      <c r="S1" s="39"/>
      <c r="T1" s="39"/>
      <c r="U1" s="39"/>
      <c r="V1" s="39"/>
      <c r="W1" s="39"/>
      <c r="X1" s="39"/>
      <c r="Y1" s="39"/>
      <c r="Z1" s="40"/>
    </row>
    <row r="2" spans="1:26" x14ac:dyDescent="0.3">
      <c r="K2" s="41"/>
      <c r="L2" s="42"/>
      <c r="M2" s="42"/>
      <c r="N2" s="42"/>
      <c r="O2" s="42"/>
      <c r="P2" s="42"/>
      <c r="Q2" s="42"/>
      <c r="R2" s="42"/>
      <c r="S2" s="42"/>
      <c r="T2" s="42"/>
      <c r="U2" s="42"/>
      <c r="V2" s="42"/>
      <c r="W2" s="42"/>
      <c r="X2" s="42"/>
      <c r="Y2" s="42"/>
      <c r="Z2" s="43"/>
    </row>
    <row r="3" spans="1:26" x14ac:dyDescent="0.3">
      <c r="A3" s="22" t="s">
        <v>265</v>
      </c>
      <c r="C3" s="22" t="s">
        <v>274</v>
      </c>
      <c r="E3" s="22" t="s">
        <v>272</v>
      </c>
      <c r="G3" s="32" t="s">
        <v>271</v>
      </c>
      <c r="K3" s="41"/>
      <c r="L3" s="42"/>
      <c r="M3" s="42"/>
      <c r="N3" s="42"/>
      <c r="O3" s="42"/>
      <c r="P3" s="42"/>
      <c r="Q3" s="42"/>
      <c r="R3" s="42"/>
      <c r="S3" s="42"/>
      <c r="T3" s="42"/>
      <c r="U3" s="42"/>
      <c r="V3" s="42"/>
      <c r="W3" s="42"/>
      <c r="X3" s="42"/>
      <c r="Y3" s="42"/>
      <c r="Z3" s="43"/>
    </row>
    <row r="4" spans="1:26" ht="18" x14ac:dyDescent="0.3">
      <c r="A4" s="23">
        <v>793545000</v>
      </c>
      <c r="C4" s="22">
        <v>639</v>
      </c>
      <c r="E4" s="22">
        <v>200</v>
      </c>
      <c r="G4" s="25">
        <f>GETPIVOTDATA("Total Price Fixed",$A$3)/GETPIVOTDATA("Transaction ID",$E$3)</f>
        <v>3967725</v>
      </c>
      <c r="K4" s="26"/>
      <c r="S4" s="27"/>
      <c r="Z4" s="28"/>
    </row>
    <row r="5" spans="1:26" x14ac:dyDescent="0.3">
      <c r="K5" s="26"/>
      <c r="Z5" s="28"/>
    </row>
    <row r="6" spans="1:26" ht="18.75" x14ac:dyDescent="0.3">
      <c r="K6" s="26"/>
      <c r="R6" s="24" t="s">
        <v>270</v>
      </c>
      <c r="U6" s="34" t="s">
        <v>272</v>
      </c>
      <c r="X6" s="33" t="s">
        <v>273</v>
      </c>
      <c r="Z6" s="28"/>
    </row>
    <row r="7" spans="1:26" ht="17.25" x14ac:dyDescent="0.3">
      <c r="K7" s="26"/>
      <c r="R7" s="35">
        <v>793545000</v>
      </c>
      <c r="U7" s="36">
        <v>200</v>
      </c>
      <c r="X7" s="37">
        <f>GETPIVOTDATA("Total Price Fixed",$A$3)/GETPIVOTDATA("Transaction ID",$E$3)</f>
        <v>3967725</v>
      </c>
      <c r="Z7" s="28"/>
    </row>
    <row r="8" spans="1:26" x14ac:dyDescent="0.3">
      <c r="K8" s="26"/>
      <c r="Z8" s="28"/>
    </row>
    <row r="9" spans="1:26" x14ac:dyDescent="0.3">
      <c r="A9" s="5" t="s">
        <v>266</v>
      </c>
      <c r="B9" s="5" t="s">
        <v>267</v>
      </c>
      <c r="K9" s="26"/>
      <c r="Z9" s="28"/>
    </row>
    <row r="10" spans="1:26" x14ac:dyDescent="0.3">
      <c r="A10" s="5" t="s">
        <v>257</v>
      </c>
      <c r="B10" t="s">
        <v>238</v>
      </c>
      <c r="C10" t="s">
        <v>239</v>
      </c>
      <c r="D10" t="s">
        <v>242</v>
      </c>
      <c r="E10" t="s">
        <v>241</v>
      </c>
      <c r="F10" t="s">
        <v>240</v>
      </c>
      <c r="G10" t="s">
        <v>258</v>
      </c>
      <c r="K10" s="26"/>
      <c r="Z10" s="28"/>
    </row>
    <row r="11" spans="1:26" x14ac:dyDescent="0.3">
      <c r="A11" s="6" t="s">
        <v>223</v>
      </c>
      <c r="B11" s="44">
        <v>5</v>
      </c>
      <c r="C11" s="44">
        <v>24</v>
      </c>
      <c r="D11" s="45">
        <v>26</v>
      </c>
      <c r="E11" s="44">
        <v>6</v>
      </c>
      <c r="F11" s="44">
        <v>22</v>
      </c>
      <c r="G11" s="45">
        <v>83</v>
      </c>
      <c r="K11" s="26"/>
      <c r="Z11" s="28"/>
    </row>
    <row r="12" spans="1:26" x14ac:dyDescent="0.3">
      <c r="A12" s="6" t="s">
        <v>225</v>
      </c>
      <c r="B12" s="44">
        <v>13</v>
      </c>
      <c r="C12" s="44">
        <v>11</v>
      </c>
      <c r="D12" s="44">
        <v>15</v>
      </c>
      <c r="E12" s="44">
        <v>9</v>
      </c>
      <c r="F12" s="44">
        <v>28</v>
      </c>
      <c r="G12" s="44">
        <v>76</v>
      </c>
      <c r="K12" s="26"/>
      <c r="Z12" s="28"/>
    </row>
    <row r="13" spans="1:26" x14ac:dyDescent="0.3">
      <c r="A13" s="6" t="s">
        <v>227</v>
      </c>
      <c r="B13" s="44">
        <v>13</v>
      </c>
      <c r="C13" s="44">
        <v>3</v>
      </c>
      <c r="D13" s="44">
        <v>11</v>
      </c>
      <c r="E13" s="44">
        <v>22</v>
      </c>
      <c r="F13" s="44">
        <v>25</v>
      </c>
      <c r="G13" s="44">
        <v>74</v>
      </c>
      <c r="K13" s="26"/>
      <c r="Z13" s="28"/>
    </row>
    <row r="14" spans="1:26" x14ac:dyDescent="0.3">
      <c r="A14" s="6" t="s">
        <v>226</v>
      </c>
      <c r="B14" s="44">
        <v>10</v>
      </c>
      <c r="C14" s="44">
        <v>17</v>
      </c>
      <c r="D14" s="44">
        <v>18</v>
      </c>
      <c r="E14" s="44">
        <v>22</v>
      </c>
      <c r="F14" s="44">
        <v>5</v>
      </c>
      <c r="G14" s="44">
        <v>72</v>
      </c>
      <c r="K14" s="26"/>
      <c r="Z14" s="28"/>
    </row>
    <row r="15" spans="1:26" x14ac:dyDescent="0.3">
      <c r="A15" s="6" t="s">
        <v>229</v>
      </c>
      <c r="B15" s="44">
        <v>12</v>
      </c>
      <c r="C15" s="44">
        <v>9</v>
      </c>
      <c r="D15" s="44">
        <v>19</v>
      </c>
      <c r="E15" s="44">
        <v>15</v>
      </c>
      <c r="F15" s="44">
        <v>13</v>
      </c>
      <c r="G15" s="44">
        <v>68</v>
      </c>
      <c r="K15" s="26"/>
      <c r="Z15" s="28"/>
    </row>
    <row r="16" spans="1:26" x14ac:dyDescent="0.3">
      <c r="A16" s="6" t="s">
        <v>221</v>
      </c>
      <c r="B16" s="44">
        <v>19</v>
      </c>
      <c r="C16" s="44">
        <v>10</v>
      </c>
      <c r="D16" s="44">
        <v>19</v>
      </c>
      <c r="E16" s="44">
        <v>6</v>
      </c>
      <c r="F16" s="44">
        <v>9</v>
      </c>
      <c r="G16" s="44">
        <v>63</v>
      </c>
      <c r="K16" s="26"/>
      <c r="Z16" s="28"/>
    </row>
    <row r="17" spans="1:26" x14ac:dyDescent="0.3">
      <c r="A17" s="6" t="s">
        <v>220</v>
      </c>
      <c r="B17" s="44">
        <v>16</v>
      </c>
      <c r="C17" s="44">
        <v>17</v>
      </c>
      <c r="D17" s="44">
        <v>4</v>
      </c>
      <c r="E17" s="44">
        <v>9</v>
      </c>
      <c r="F17" s="44">
        <v>13</v>
      </c>
      <c r="G17" s="44">
        <v>59</v>
      </c>
      <c r="K17" s="26"/>
      <c r="Z17" s="28"/>
    </row>
    <row r="18" spans="1:26" x14ac:dyDescent="0.3">
      <c r="A18" s="6" t="s">
        <v>228</v>
      </c>
      <c r="B18" s="44">
        <v>16</v>
      </c>
      <c r="C18" s="44">
        <v>5</v>
      </c>
      <c r="D18" s="44">
        <v>8</v>
      </c>
      <c r="E18" s="44">
        <v>13</v>
      </c>
      <c r="F18" s="44">
        <v>8</v>
      </c>
      <c r="G18" s="44">
        <v>50</v>
      </c>
      <c r="K18" s="26"/>
      <c r="Z18" s="28"/>
    </row>
    <row r="19" spans="1:26" x14ac:dyDescent="0.3">
      <c r="A19" s="6" t="s">
        <v>224</v>
      </c>
      <c r="B19" s="44">
        <v>12</v>
      </c>
      <c r="C19" s="44">
        <v>13</v>
      </c>
      <c r="D19" s="44">
        <v>6</v>
      </c>
      <c r="E19" s="44">
        <v>14</v>
      </c>
      <c r="F19" s="44">
        <v>4</v>
      </c>
      <c r="G19" s="44">
        <v>49</v>
      </c>
      <c r="K19" s="26"/>
      <c r="Z19" s="28"/>
    </row>
    <row r="20" spans="1:26" x14ac:dyDescent="0.3">
      <c r="A20" s="6" t="s">
        <v>222</v>
      </c>
      <c r="B20" s="44">
        <v>10</v>
      </c>
      <c r="C20" s="44">
        <v>24</v>
      </c>
      <c r="D20" s="44">
        <v>3</v>
      </c>
      <c r="E20" s="44">
        <v>5</v>
      </c>
      <c r="F20" s="44">
        <v>3</v>
      </c>
      <c r="G20" s="44">
        <v>45</v>
      </c>
      <c r="K20" s="26"/>
      <c r="Z20" s="28"/>
    </row>
    <row r="21" spans="1:26" x14ac:dyDescent="0.3">
      <c r="A21" s="6" t="s">
        <v>258</v>
      </c>
      <c r="B21" s="44">
        <v>126</v>
      </c>
      <c r="C21" s="44">
        <v>133</v>
      </c>
      <c r="D21" s="44">
        <v>129</v>
      </c>
      <c r="E21" s="44">
        <v>121</v>
      </c>
      <c r="F21" s="44">
        <v>130</v>
      </c>
      <c r="G21" s="44">
        <v>639</v>
      </c>
      <c r="K21" s="26"/>
      <c r="Z21" s="28"/>
    </row>
    <row r="22" spans="1:26" x14ac:dyDescent="0.3">
      <c r="K22" s="26"/>
      <c r="Z22" s="28"/>
    </row>
    <row r="23" spans="1:26" x14ac:dyDescent="0.3">
      <c r="K23" s="26"/>
      <c r="Z23" s="28"/>
    </row>
    <row r="24" spans="1:26" x14ac:dyDescent="0.3">
      <c r="A24" s="5" t="s">
        <v>257</v>
      </c>
      <c r="B24" t="s">
        <v>268</v>
      </c>
      <c r="K24" s="26"/>
      <c r="Z24" s="28"/>
    </row>
    <row r="25" spans="1:26" x14ac:dyDescent="0.3">
      <c r="A25" s="21" t="s">
        <v>236</v>
      </c>
      <c r="B25" s="20">
        <v>56</v>
      </c>
      <c r="K25" s="26"/>
      <c r="Z25" s="28"/>
    </row>
    <row r="26" spans="1:26" x14ac:dyDescent="0.3">
      <c r="A26" s="6" t="s">
        <v>234</v>
      </c>
      <c r="B26">
        <v>46</v>
      </c>
      <c r="K26" s="26"/>
      <c r="Z26" s="28"/>
    </row>
    <row r="27" spans="1:26" x14ac:dyDescent="0.3">
      <c r="A27" s="6" t="s">
        <v>237</v>
      </c>
      <c r="B27">
        <v>43</v>
      </c>
      <c r="K27" s="26"/>
      <c r="Z27" s="28"/>
    </row>
    <row r="28" spans="1:26" x14ac:dyDescent="0.3">
      <c r="A28" s="6" t="s">
        <v>235</v>
      </c>
      <c r="B28">
        <v>55</v>
      </c>
      <c r="K28" s="26"/>
      <c r="Z28" s="28"/>
    </row>
    <row r="29" spans="1:26" x14ac:dyDescent="0.3">
      <c r="A29" s="6" t="s">
        <v>258</v>
      </c>
      <c r="B29">
        <v>200</v>
      </c>
      <c r="K29" s="26"/>
      <c r="Z29" s="28"/>
    </row>
    <row r="30" spans="1:26" x14ac:dyDescent="0.3">
      <c r="K30" s="26"/>
      <c r="Z30" s="28"/>
    </row>
    <row r="31" spans="1:26" x14ac:dyDescent="0.3">
      <c r="K31" s="26"/>
      <c r="Z31" s="28"/>
    </row>
    <row r="32" spans="1:26" x14ac:dyDescent="0.3">
      <c r="A32" s="5" t="s">
        <v>257</v>
      </c>
      <c r="B32" t="s">
        <v>265</v>
      </c>
      <c r="K32" s="26"/>
      <c r="Z32" s="28"/>
    </row>
    <row r="33" spans="1:26" x14ac:dyDescent="0.3">
      <c r="A33" s="21" t="s">
        <v>218</v>
      </c>
      <c r="B33" s="19">
        <v>151925000</v>
      </c>
      <c r="K33" s="26"/>
      <c r="Z33" s="28"/>
    </row>
    <row r="34" spans="1:26" x14ac:dyDescent="0.3">
      <c r="A34" s="21" t="s">
        <v>216</v>
      </c>
      <c r="B34" s="19">
        <v>126620000</v>
      </c>
      <c r="K34" s="26"/>
      <c r="Z34" s="28"/>
    </row>
    <row r="35" spans="1:26" x14ac:dyDescent="0.3">
      <c r="A35" s="21" t="s">
        <v>214</v>
      </c>
      <c r="B35" s="19">
        <v>94990000</v>
      </c>
      <c r="K35" s="26"/>
      <c r="Z35" s="28"/>
    </row>
    <row r="36" spans="1:26" x14ac:dyDescent="0.3">
      <c r="A36" s="21" t="s">
        <v>215</v>
      </c>
      <c r="B36" s="19">
        <v>90225000</v>
      </c>
      <c r="K36" s="26"/>
      <c r="Z36" s="28"/>
    </row>
    <row r="37" spans="1:26" x14ac:dyDescent="0.3">
      <c r="A37" s="21" t="s">
        <v>210</v>
      </c>
      <c r="B37" s="19">
        <v>80085000</v>
      </c>
      <c r="K37" s="26"/>
      <c r="Z37" s="28"/>
    </row>
    <row r="38" spans="1:26" x14ac:dyDescent="0.3">
      <c r="A38" s="6" t="s">
        <v>213</v>
      </c>
      <c r="B38" s="10">
        <v>62510000</v>
      </c>
      <c r="K38" s="26"/>
      <c r="Z38" s="28"/>
    </row>
    <row r="39" spans="1:26" x14ac:dyDescent="0.3">
      <c r="A39" s="6" t="s">
        <v>212</v>
      </c>
      <c r="B39" s="10">
        <v>55195000</v>
      </c>
      <c r="K39" s="29"/>
      <c r="L39" s="30"/>
      <c r="M39" s="30"/>
      <c r="N39" s="30"/>
      <c r="O39" s="30"/>
      <c r="P39" s="30"/>
      <c r="Q39" s="30"/>
      <c r="R39" s="30"/>
      <c r="S39" s="30"/>
      <c r="T39" s="30"/>
      <c r="U39" s="30"/>
      <c r="V39" s="30"/>
      <c r="W39" s="30"/>
      <c r="X39" s="30"/>
      <c r="Y39" s="30"/>
      <c r="Z39" s="31"/>
    </row>
    <row r="40" spans="1:26" x14ac:dyDescent="0.3">
      <c r="A40" s="6" t="s">
        <v>211</v>
      </c>
      <c r="B40" s="10">
        <v>54900000</v>
      </c>
    </row>
    <row r="41" spans="1:26" x14ac:dyDescent="0.3">
      <c r="A41" s="6" t="s">
        <v>219</v>
      </c>
      <c r="B41" s="10">
        <v>45460000</v>
      </c>
    </row>
    <row r="42" spans="1:26" x14ac:dyDescent="0.3">
      <c r="A42" s="6" t="s">
        <v>217</v>
      </c>
      <c r="B42" s="10">
        <v>31635000</v>
      </c>
    </row>
    <row r="43" spans="1:26" x14ac:dyDescent="0.3">
      <c r="A43" s="6" t="s">
        <v>258</v>
      </c>
      <c r="B43" s="10">
        <v>793545000</v>
      </c>
    </row>
    <row r="46" spans="1:26" x14ac:dyDescent="0.3">
      <c r="A46" s="5" t="s">
        <v>257</v>
      </c>
      <c r="B46" t="s">
        <v>265</v>
      </c>
    </row>
    <row r="47" spans="1:26" x14ac:dyDescent="0.3">
      <c r="A47" s="6" t="s">
        <v>259</v>
      </c>
      <c r="B47" s="10">
        <v>230620000</v>
      </c>
    </row>
    <row r="48" spans="1:26" x14ac:dyDescent="0.3">
      <c r="A48" s="6" t="s">
        <v>260</v>
      </c>
      <c r="B48" s="10">
        <v>276335000</v>
      </c>
    </row>
    <row r="49" spans="1:2" x14ac:dyDescent="0.3">
      <c r="A49" s="21" t="s">
        <v>261</v>
      </c>
      <c r="B49" s="19">
        <v>286590000</v>
      </c>
    </row>
    <row r="50" spans="1:2" x14ac:dyDescent="0.3">
      <c r="A50" s="6" t="s">
        <v>258</v>
      </c>
      <c r="B50" s="10">
        <v>793545000</v>
      </c>
    </row>
  </sheetData>
  <mergeCells count="1">
    <mergeCell ref="K1:Z3"/>
  </mergeCells>
  <pageMargins left="0.7" right="0.7" top="0.75" bottom="0.75" header="0.3" footer="0.3"/>
  <drawing r:id="rId10"/>
  <extLst>
    <ext xmlns:x14="http://schemas.microsoft.com/office/spreadsheetml/2009/9/main" uri="{A8765BA9-456A-4dab-B4F3-ACF838C121DE}">
      <x14:slicerList>
        <x14:slicer r:id="rId11"/>
      </x14:slicerList>
    </ext>
    <ext xmlns:x15="http://schemas.microsoft.com/office/spreadsheetml/2010/11/main" uri="{7E03D99C-DC04-49d9-9315-930204A7B6E9}">
      <x15:timelineRefs>
        <x15:timelineRef r:id="rId12"/>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Dictionary</vt:lpstr>
      <vt:lpstr>RAW</vt:lpstr>
      <vt:lpstr>DASHBORD PIVOT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10</dc:creator>
  <cp:lastModifiedBy>Rama Adi</cp:lastModifiedBy>
  <dcterms:created xsi:type="dcterms:W3CDTF">2025-07-20T02:31:03Z</dcterms:created>
  <dcterms:modified xsi:type="dcterms:W3CDTF">2025-09-17T11:25:29Z</dcterms:modified>
</cp:coreProperties>
</file>